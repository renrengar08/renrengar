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28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RESUMEN PPTO" sheetId="2" state="visible" r:id="rId2"/>
    <sheet xmlns:r="http://schemas.openxmlformats.org/officeDocument/2006/relationships" name="A - PASANTÍA-USO EQUIP" sheetId="3" state="visible" r:id="rId3"/>
    <sheet xmlns:r="http://schemas.openxmlformats.org/officeDocument/2006/relationships" name="B - ATRACCIÓN INVESTIGADORE" sheetId="4" state="visible" r:id="rId4"/>
    <sheet xmlns:r="http://schemas.openxmlformats.org/officeDocument/2006/relationships" name="C - TALLERES O SEMINARIOS 2" sheetId="5" state="visible" r:id="rId5"/>
    <sheet xmlns:r="http://schemas.openxmlformats.org/officeDocument/2006/relationships" name="APORTES INSTUCIONALES" sheetId="6" state="visible" r:id="rId6"/>
    <sheet xmlns:r="http://schemas.openxmlformats.org/officeDocument/2006/relationships" name="Hoja1" sheetId="7" state="hidden" r:id="rId7"/>
    <sheet xmlns:r="http://schemas.openxmlformats.org/officeDocument/2006/relationships" name="Hoja2" sheetId="8" state="hidden" r:id="rId8"/>
  </sheets>
  <definedNames>
    <definedName name="_xlnm.Print_Area" localSheetId="1">'RESUMEN PPTO'!$B$2:$I$42</definedName>
    <definedName name="Z_3C976974_E194_4F25_91FE_3D02D3B21CFC_.wvu.PrintArea" localSheetId="5" hidden="1">'APORTES INSTUCIONALES'!#REF!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_-&quot;$&quot;\ * #,##0_-;\-&quot;$&quot;\ * #,##0_-;_-&quot;$&quot;\ * &quot;-&quot;_-;_-@_-"/>
  </numFmts>
  <fonts count="31">
    <font>
      <name val="Calibri"/>
      <family val="2"/>
      <color theme="1"/>
      <sz val="11"/>
      <scheme val="minor"/>
    </font>
    <font>
      <name val="Calibri"/>
      <family val="2"/>
      <b val="1"/>
      <i val="1"/>
      <color indexed="8"/>
      <sz val="12"/>
    </font>
    <font>
      <name val="Calibri"/>
      <family val="2"/>
      <b val="1"/>
      <sz val="11"/>
    </font>
    <font>
      <name val="Calibri"/>
      <family val="2"/>
      <b val="1"/>
      <color indexed="10"/>
      <sz val="11"/>
    </font>
    <font>
      <name val="Tahoma"/>
      <family val="2"/>
      <b val="1"/>
      <color indexed="8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i val="1"/>
      <color theme="1"/>
      <sz val="11"/>
      <u val="single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8"/>
      <u val="single"/>
      <scheme val="minor"/>
    </font>
    <font>
      <name val="Calibri"/>
      <family val="2"/>
      <i val="1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FF0000"/>
      <sz val="11"/>
      <u val="single"/>
      <scheme val="minor"/>
    </font>
    <font>
      <name val="Calibri"/>
      <family val="2"/>
      <b val="1"/>
      <i val="1"/>
      <color rgb="FFFF0000"/>
      <sz val="12"/>
    </font>
    <font>
      <name val="Calibri"/>
      <family val="2"/>
      <b val="1"/>
      <i val="1"/>
      <sz val="11"/>
      <u val="single"/>
      <scheme val="minor"/>
    </font>
    <font>
      <name val="Calibri"/>
      <family val="2"/>
      <b val="1"/>
      <i val="1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3F3F3"/>
        <bgColor rgb="FFF3F3F3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5" fillId="0" borderId="0"/>
    <xf numFmtId="165" fontId="5" fillId="0" borderId="0"/>
  </cellStyleXfs>
  <cellXfs count="250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1" fontId="10" fillId="4" borderId="38" applyAlignment="1" pivotButton="0" quotePrefix="0" xfId="0">
      <alignment horizontal="center" vertical="center"/>
    </xf>
    <xf numFmtId="17" fontId="11" fillId="4" borderId="39" applyAlignment="1" pivotButton="0" quotePrefix="0" xfId="0">
      <alignment horizontal="center" textRotation="90"/>
    </xf>
    <xf numFmtId="17" fontId="11" fillId="4" borderId="38" applyAlignment="1" pivotButton="0" quotePrefix="0" xfId="0">
      <alignment horizontal="center" textRotation="90"/>
    </xf>
    <xf numFmtId="0" fontId="12" fillId="4" borderId="38" pivotButton="0" quotePrefix="0" xfId="0"/>
    <xf numFmtId="164" fontId="12" fillId="0" borderId="38" applyAlignment="1" pivotButton="0" quotePrefix="0" xfId="0">
      <alignment horizontal="center"/>
    </xf>
    <xf numFmtId="0" fontId="12" fillId="0" borderId="38" pivotButton="0" quotePrefix="0" xfId="0"/>
    <xf numFmtId="0" fontId="11" fillId="0" borderId="0" applyAlignment="1" applyProtection="1" pivotButton="0" quotePrefix="0" xfId="0">
      <alignment vertical="center" wrapText="1"/>
      <protection locked="0" hidden="0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0" applyProtection="1" pivotButton="0" quotePrefix="0" xfId="0">
      <protection locked="0" hidden="0"/>
    </xf>
    <xf numFmtId="0" fontId="14" fillId="2" borderId="2" applyProtection="1" pivotButton="0" quotePrefix="0" xfId="0">
      <protection locked="0" hidden="0"/>
    </xf>
    <xf numFmtId="0" fontId="14" fillId="2" borderId="3" applyProtection="1" pivotButton="0" quotePrefix="0" xfId="0">
      <protection locked="0" hidden="0"/>
    </xf>
    <xf numFmtId="0" fontId="14" fillId="2" borderId="4" applyProtection="1" pivotButton="0" quotePrefix="0" xfId="0">
      <protection locked="0" hidden="0"/>
    </xf>
    <xf numFmtId="0" fontId="14" fillId="2" borderId="5" applyProtection="1" pivotButton="0" quotePrefix="0" xfId="0">
      <protection locked="0" hidden="0"/>
    </xf>
    <xf numFmtId="0" fontId="14" fillId="2" borderId="6" applyProtection="1" pivotButton="0" quotePrefix="0" xfId="0">
      <protection locked="0" hidden="0"/>
    </xf>
    <xf numFmtId="3" fontId="15" fillId="2" borderId="0" applyAlignment="1" applyProtection="1" pivotButton="0" quotePrefix="0" xfId="0">
      <alignment horizontal="left" vertical="center"/>
      <protection locked="0" hidden="0"/>
    </xf>
    <xf numFmtId="0" fontId="14" fillId="2" borderId="0" applyProtection="1" pivotButton="0" quotePrefix="0" xfId="0">
      <protection locked="0" hidden="0"/>
    </xf>
    <xf numFmtId="0" fontId="14" fillId="2" borderId="5" applyAlignment="1" applyProtection="1" pivotButton="0" quotePrefix="0" xfId="0">
      <alignment vertical="center"/>
      <protection locked="0" hidden="0"/>
    </xf>
    <xf numFmtId="0" fontId="14" fillId="2" borderId="6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15" fillId="2" borderId="0" applyAlignment="1" applyProtection="1" pivotButton="0" quotePrefix="0" xfId="0">
      <alignment horizontal="center" vertical="center" wrapText="1"/>
      <protection locked="0" hidden="0"/>
    </xf>
    <xf numFmtId="0" fontId="15" fillId="2" borderId="5" applyAlignment="1" applyProtection="1" pivotButton="0" quotePrefix="0" xfId="0">
      <alignment horizontal="center" vertical="center" wrapText="1"/>
      <protection locked="0" hidden="0"/>
    </xf>
    <xf numFmtId="0" fontId="15" fillId="2" borderId="6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0" fontId="15" fillId="2" borderId="5" applyAlignment="1" applyProtection="1" pivotButton="0" quotePrefix="0" xfId="0">
      <alignment vertical="center"/>
      <protection locked="0" hidden="0"/>
    </xf>
    <xf numFmtId="0" fontId="15" fillId="2" borderId="6" applyAlignment="1" applyProtection="1" pivotButton="0" quotePrefix="0" xfId="0">
      <alignment vertical="center"/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14" fillId="0" borderId="5" applyProtection="1" pivotButton="0" quotePrefix="0" xfId="0">
      <protection locked="0" hidden="0"/>
    </xf>
    <xf numFmtId="0" fontId="14" fillId="0" borderId="6" applyProtection="1" pivotButton="0" quotePrefix="0" xfId="0">
      <protection locked="0" hidden="0"/>
    </xf>
    <xf numFmtId="0" fontId="14" fillId="0" borderId="7" applyProtection="1" pivotButton="0" quotePrefix="0" xfId="0">
      <protection locked="0" hidden="0"/>
    </xf>
    <xf numFmtId="0" fontId="14" fillId="0" borderId="8" applyProtection="1" pivotButton="0" quotePrefix="0" xfId="0">
      <protection locked="0" hidden="0"/>
    </xf>
    <xf numFmtId="0" fontId="14" fillId="0" borderId="9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Protection="1" pivotButton="0" quotePrefix="0" xfId="0">
      <protection locked="0" hidden="0"/>
    </xf>
    <xf numFmtId="3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165" fontId="14" fillId="2" borderId="12" applyAlignment="1" pivotButton="0" quotePrefix="0" xfId="1">
      <alignment horizontal="center" vertical="center"/>
    </xf>
    <xf numFmtId="165" fontId="15" fillId="6" borderId="11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4" fillId="0" borderId="0" applyAlignment="1" pivotButton="0" quotePrefix="0" xfId="0">
      <alignment horizontal="center" vertical="center"/>
    </xf>
    <xf numFmtId="165" fontId="6" fillId="5" borderId="11" applyAlignment="1" pivotButton="0" quotePrefix="0" xfId="1">
      <alignment horizontal="center" vertical="center"/>
    </xf>
    <xf numFmtId="0" fontId="7" fillId="0" borderId="0" pivotButton="0" quotePrefix="0" xfId="0"/>
    <xf numFmtId="0" fontId="6" fillId="5" borderId="13" applyAlignment="1" pivotButton="0" quotePrefix="0" xfId="0">
      <alignment horizontal="center" vertical="center"/>
    </xf>
    <xf numFmtId="165" fontId="14" fillId="2" borderId="14" applyAlignment="1" pivotButton="0" quotePrefix="0" xfId="1">
      <alignment horizontal="center" vertical="center"/>
    </xf>
    <xf numFmtId="0" fontId="14" fillId="0" borderId="12" applyAlignment="1" pivotButton="0" quotePrefix="0" xfId="0">
      <alignment horizontal="left" vertical="center"/>
    </xf>
    <xf numFmtId="0" fontId="14" fillId="0" borderId="15" applyAlignment="1" pivotButton="0" quotePrefix="0" xfId="0">
      <alignment horizontal="center" vertical="center" wrapText="1"/>
    </xf>
    <xf numFmtId="165" fontId="14" fillId="2" borderId="6" applyAlignment="1" pivotButton="0" quotePrefix="0" xfId="1">
      <alignment horizontal="center" vertical="center"/>
    </xf>
    <xf numFmtId="165" fontId="14" fillId="2" borderId="16" applyAlignment="1" pivotButton="0" quotePrefix="0" xfId="1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left" vertical="center"/>
    </xf>
    <xf numFmtId="0" fontId="17" fillId="3" borderId="18" applyAlignment="1" pivotButton="0" quotePrefix="0" xfId="0">
      <alignment horizontal="left" vertical="center"/>
    </xf>
    <xf numFmtId="0" fontId="17" fillId="3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4" fillId="0" borderId="21" applyAlignment="1" pivotButton="0" quotePrefix="0" xfId="0">
      <alignment horizontal="left" vertical="center"/>
    </xf>
    <xf numFmtId="0" fontId="17" fillId="3" borderId="22" applyAlignment="1" pivotButton="0" quotePrefix="0" xfId="0">
      <alignment horizontal="left" vertical="center"/>
    </xf>
    <xf numFmtId="0" fontId="17" fillId="3" borderId="23" applyAlignment="1" pivotButton="0" quotePrefix="0" xfId="0">
      <alignment horizontal="left" vertical="center"/>
    </xf>
    <xf numFmtId="0" fontId="14" fillId="0" borderId="24" pivotButton="0" quotePrefix="0" xfId="0"/>
    <xf numFmtId="0" fontId="17" fillId="3" borderId="24" applyAlignment="1" pivotButton="0" quotePrefix="0" xfId="0">
      <alignment horizontal="left" vertical="center"/>
    </xf>
    <xf numFmtId="0" fontId="14" fillId="0" borderId="25" pivotButton="0" quotePrefix="0" xfId="0"/>
    <xf numFmtId="0" fontId="18" fillId="5" borderId="26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165" fontId="14" fillId="2" borderId="22" applyAlignment="1" pivotButton="0" quotePrefix="0" xfId="1">
      <alignment horizontal="center" vertical="center"/>
    </xf>
    <xf numFmtId="165" fontId="14" fillId="2" borderId="17" applyAlignment="1" pivotButton="0" quotePrefix="0" xfId="1">
      <alignment horizontal="center" vertical="center"/>
    </xf>
    <xf numFmtId="0" fontId="19" fillId="0" borderId="0" pivotButton="0" quotePrefix="0" xfId="0"/>
    <xf numFmtId="0" fontId="14" fillId="0" borderId="11" applyAlignment="1" pivotButton="0" quotePrefix="0" xfId="0">
      <alignment horizontal="center" vertical="center"/>
    </xf>
    <xf numFmtId="0" fontId="17" fillId="3" borderId="20" applyAlignment="1" pivotButton="0" quotePrefix="0" xfId="0">
      <alignment horizontal="left" vertical="center"/>
    </xf>
    <xf numFmtId="0" fontId="14" fillId="0" borderId="21" pivotButton="0" quotePrefix="0" xfId="0"/>
    <xf numFmtId="0" fontId="17" fillId="3" borderId="21" applyAlignment="1" pivotButton="0" quotePrefix="0" xfId="0">
      <alignment horizontal="left" vertical="center"/>
    </xf>
    <xf numFmtId="0" fontId="14" fillId="0" borderId="0" pivotButton="0" quotePrefix="0" xfId="0"/>
    <xf numFmtId="165" fontId="14" fillId="2" borderId="4" applyAlignment="1" pivotButton="0" quotePrefix="0" xfId="1">
      <alignment horizontal="center" vertical="center"/>
    </xf>
    <xf numFmtId="165" fontId="14" fillId="2" borderId="25" applyAlignment="1" pivotButton="0" quotePrefix="0" xfId="1">
      <alignment horizontal="center" vertical="center"/>
    </xf>
    <xf numFmtId="0" fontId="6" fillId="5" borderId="17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5" borderId="11" applyAlignment="1" pivotButton="0" quotePrefix="0" xfId="0">
      <alignment horizontal="center" vertical="center" wrapText="1"/>
    </xf>
    <xf numFmtId="0" fontId="24" fillId="0" borderId="0" pivotButton="0" quotePrefix="0" xfId="0"/>
    <xf numFmtId="0" fontId="14" fillId="3" borderId="36" applyAlignment="1" pivotButton="0" quotePrefix="0" xfId="0">
      <alignment horizontal="left" vertical="center"/>
    </xf>
    <xf numFmtId="0" fontId="14" fillId="3" borderId="37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27" fillId="0" borderId="0" pivotButton="0" quotePrefix="0" xfId="0"/>
    <xf numFmtId="165" fontId="14" fillId="9" borderId="17" applyAlignment="1" applyProtection="1" pivotButton="0" quotePrefix="0" xfId="1">
      <alignment horizontal="center" vertical="center"/>
      <protection locked="0" hidden="0"/>
    </xf>
    <xf numFmtId="165" fontId="12" fillId="9" borderId="17" applyAlignment="1" applyProtection="1" pivotButton="0" quotePrefix="0" xfId="1">
      <alignment horizontal="center" vertical="center" wrapText="1"/>
      <protection locked="0" hidden="0"/>
    </xf>
    <xf numFmtId="165" fontId="12" fillId="9" borderId="12" applyAlignment="1" applyProtection="1" pivotButton="0" quotePrefix="0" xfId="1">
      <alignment horizontal="center" vertical="center" wrapText="1"/>
      <protection locked="0" hidden="0"/>
    </xf>
    <xf numFmtId="165" fontId="14" fillId="9" borderId="11" applyAlignment="1" applyProtection="1" pivotButton="0" quotePrefix="0" xfId="1">
      <alignment horizontal="center" vertical="center"/>
      <protection locked="0" hidden="0"/>
    </xf>
    <xf numFmtId="165" fontId="12" fillId="9" borderId="11" applyAlignment="1" applyProtection="1" pivotButton="0" quotePrefix="0" xfId="1">
      <alignment horizontal="center" vertical="center" wrapText="1"/>
      <protection locked="0" hidden="0"/>
    </xf>
    <xf numFmtId="0" fontId="25" fillId="0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left" vertical="center"/>
    </xf>
    <xf numFmtId="0" fontId="25" fillId="0" borderId="0" pivotButton="0" quotePrefix="0" xfId="0"/>
    <xf numFmtId="0" fontId="28" fillId="0" borderId="0" applyAlignment="1" applyProtection="1" pivotButton="0" quotePrefix="0" xfId="0">
      <alignment vertical="center"/>
      <protection locked="0" hidden="0"/>
    </xf>
    <xf numFmtId="165" fontId="14" fillId="9" borderId="12" applyAlignment="1" applyProtection="1" pivotButton="0" quotePrefix="0" xfId="1">
      <alignment horizontal="center" vertical="center"/>
      <protection locked="0" hidden="0"/>
    </xf>
    <xf numFmtId="165" fontId="14" fillId="9" borderId="16" applyAlignment="1" applyProtection="1" pivotButton="0" quotePrefix="0" xfId="1">
      <alignment horizontal="center" vertical="center"/>
      <protection locked="0" hidden="0"/>
    </xf>
    <xf numFmtId="0" fontId="6" fillId="10" borderId="11" applyAlignment="1" pivotButton="0" quotePrefix="0" xfId="0">
      <alignment horizontal="center" vertical="center" wrapText="1"/>
    </xf>
    <xf numFmtId="165" fontId="6" fillId="10" borderId="11" applyAlignment="1" pivotButton="0" quotePrefix="0" xfId="1">
      <alignment horizontal="center" vertical="center"/>
    </xf>
    <xf numFmtId="165" fontId="15" fillId="11" borderId="13" applyAlignment="1" pivotButton="0" quotePrefix="0" xfId="1">
      <alignment horizontal="center" vertical="center"/>
    </xf>
    <xf numFmtId="165" fontId="15" fillId="11" borderId="11" applyAlignment="1" pivotButton="0" quotePrefix="0" xfId="1">
      <alignment horizontal="center" vertical="center"/>
    </xf>
    <xf numFmtId="0" fontId="12" fillId="9" borderId="0" applyAlignment="1" applyProtection="1" pivotButton="0" quotePrefix="0" xfId="0">
      <alignment horizontal="left" vertical="top"/>
      <protection locked="0" hidden="0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9" fillId="7" borderId="27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28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0" fillId="4" borderId="40" applyAlignment="1" pivotButton="0" quotePrefix="0" xfId="0">
      <alignment horizontal="center" vertical="center" wrapText="1"/>
    </xf>
    <xf numFmtId="0" fontId="10" fillId="4" borderId="39" applyAlignment="1" pivotButton="0" quotePrefix="0" xfId="0">
      <alignment horizontal="center" vertical="center" wrapText="1"/>
    </xf>
    <xf numFmtId="0" fontId="9" fillId="8" borderId="27" applyAlignment="1" pivotButton="0" quotePrefix="0" xfId="0">
      <alignment horizontal="center" vertical="top" wrapText="1"/>
    </xf>
    <xf numFmtId="0" fontId="9" fillId="8" borderId="28" applyAlignment="1" pivotButton="0" quotePrefix="0" xfId="0">
      <alignment horizontal="center" vertical="top" wrapText="1"/>
    </xf>
    <xf numFmtId="0" fontId="18" fillId="5" borderId="10" applyAlignment="1" pivotButton="0" quotePrefix="0" xfId="0">
      <alignment horizontal="center" vertical="center" wrapText="1"/>
    </xf>
    <xf numFmtId="0" fontId="18" fillId="5" borderId="26" applyAlignment="1" pivotButton="0" quotePrefix="0" xfId="0">
      <alignment horizontal="center" vertical="center" wrapText="1"/>
    </xf>
    <xf numFmtId="0" fontId="18" fillId="5" borderId="13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/>
    </xf>
    <xf numFmtId="0" fontId="15" fillId="6" borderId="13" applyAlignment="1" pivotButton="0" quotePrefix="0" xfId="0">
      <alignment horizontal="center"/>
    </xf>
    <xf numFmtId="0" fontId="15" fillId="6" borderId="7" applyAlignment="1" pivotButton="0" quotePrefix="0" xfId="0">
      <alignment horizontal="center"/>
    </xf>
    <xf numFmtId="0" fontId="15" fillId="6" borderId="9" applyAlignment="1" pivotButton="0" quotePrefix="0" xfId="0">
      <alignment horizontal="center"/>
    </xf>
    <xf numFmtId="0" fontId="14" fillId="0" borderId="17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3" fontId="22" fillId="2" borderId="30" applyAlignment="1" applyProtection="1" pivotButton="0" quotePrefix="0" xfId="0">
      <alignment horizontal="center" vertical="center" wrapText="1"/>
      <protection locked="0" hidden="0"/>
    </xf>
    <xf numFmtId="3" fontId="22" fillId="2" borderId="31" applyAlignment="1" applyProtection="1" pivotButton="0" quotePrefix="0" xfId="0">
      <alignment horizontal="center" vertical="center" wrapText="1"/>
      <protection locked="0" hidden="0"/>
    </xf>
    <xf numFmtId="3" fontId="22" fillId="2" borderId="32" applyAlignment="1" applyProtection="1" pivotButton="0" quotePrefix="0" xfId="0">
      <alignment horizontal="center" vertical="center" wrapText="1"/>
      <protection locked="0" hidden="0"/>
    </xf>
    <xf numFmtId="3" fontId="22" fillId="2" borderId="33" applyAlignment="1" applyProtection="1" pivotButton="0" quotePrefix="0" xfId="0">
      <alignment horizontal="center" vertical="center" wrapText="1"/>
      <protection locked="0" hidden="0"/>
    </xf>
    <xf numFmtId="3" fontId="22" fillId="2" borderId="34" applyAlignment="1" applyProtection="1" pivotButton="0" quotePrefix="0" xfId="0">
      <alignment horizontal="center" vertical="center" wrapText="1"/>
      <protection locked="0" hidden="0"/>
    </xf>
    <xf numFmtId="3" fontId="22" fillId="2" borderId="35" applyAlignment="1" applyProtection="1" pivotButton="0" quotePrefix="0" xfId="0">
      <alignment horizontal="center" vertical="center" wrapText="1"/>
      <protection locked="0" hidden="0"/>
    </xf>
    <xf numFmtId="3" fontId="23" fillId="2" borderId="0" applyAlignment="1" applyProtection="1" pivotButton="0" quotePrefix="0" xfId="0">
      <alignment horizontal="center" vertical="center"/>
      <protection locked="0" hidden="0"/>
    </xf>
    <xf numFmtId="0" fontId="15" fillId="2" borderId="27" applyAlignment="1" applyProtection="1" pivotButton="0" quotePrefix="0" xfId="0">
      <alignment horizontal="center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28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5" fillId="0" borderId="5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2" fillId="9" borderId="2" applyAlignment="1" applyProtection="1" pivotButton="0" quotePrefix="0" xfId="0">
      <alignment horizontal="left" vertical="center" wrapText="1"/>
      <protection locked="0" hidden="0"/>
    </xf>
    <xf numFmtId="0" fontId="12" fillId="9" borderId="3" applyAlignment="1" applyProtection="1" pivotButton="0" quotePrefix="0" xfId="0">
      <alignment horizontal="left" vertical="center" wrapText="1"/>
      <protection locked="0" hidden="0"/>
    </xf>
    <xf numFmtId="0" fontId="12" fillId="9" borderId="4" applyAlignment="1" applyProtection="1" pivotButton="0" quotePrefix="0" xfId="0">
      <alignment horizontal="left" vertical="center" wrapText="1"/>
      <protection locked="0" hidden="0"/>
    </xf>
    <xf numFmtId="0" fontId="12" fillId="9" borderId="5" applyAlignment="1" applyProtection="1" pivotButton="0" quotePrefix="0" xfId="0">
      <alignment horizontal="left" vertical="center" wrapText="1"/>
      <protection locked="0" hidden="0"/>
    </xf>
    <xf numFmtId="0" fontId="12" fillId="9" borderId="0" applyAlignment="1" applyProtection="1" pivotButton="0" quotePrefix="0" xfId="0">
      <alignment horizontal="left" vertical="center" wrapText="1"/>
      <protection locked="0" hidden="0"/>
    </xf>
    <xf numFmtId="0" fontId="12" fillId="9" borderId="6" applyAlignment="1" applyProtection="1" pivotButton="0" quotePrefix="0" xfId="0">
      <alignment horizontal="left" vertical="center" wrapText="1"/>
      <protection locked="0" hidden="0"/>
    </xf>
    <xf numFmtId="0" fontId="12" fillId="9" borderId="7" applyAlignment="1" applyProtection="1" pivotButton="0" quotePrefix="0" xfId="0">
      <alignment horizontal="left" vertical="center" wrapText="1"/>
      <protection locked="0" hidden="0"/>
    </xf>
    <xf numFmtId="0" fontId="12" fillId="9" borderId="8" applyAlignment="1" applyProtection="1" pivotButton="0" quotePrefix="0" xfId="0">
      <alignment horizontal="left" vertical="center" wrapText="1"/>
      <protection locked="0" hidden="0"/>
    </xf>
    <xf numFmtId="0" fontId="12" fillId="9" borderId="9" applyAlignment="1" applyProtection="1" pivotButton="0" quotePrefix="0" xfId="0">
      <alignment horizontal="left" vertical="center" wrapText="1"/>
      <protection locked="0" hidden="0"/>
    </xf>
    <xf numFmtId="0" fontId="12" fillId="9" borderId="2" applyAlignment="1" applyProtection="1" pivotButton="0" quotePrefix="0" xfId="0">
      <alignment horizontal="left" vertical="top" wrapText="1"/>
      <protection locked="0" hidden="0"/>
    </xf>
    <xf numFmtId="0" fontId="12" fillId="9" borderId="3" applyAlignment="1" applyProtection="1" pivotButton="0" quotePrefix="0" xfId="0">
      <alignment horizontal="left" vertical="top"/>
      <protection locked="0" hidden="0"/>
    </xf>
    <xf numFmtId="0" fontId="12" fillId="9" borderId="4" applyAlignment="1" applyProtection="1" pivotButton="0" quotePrefix="0" xfId="0">
      <alignment horizontal="left" vertical="top"/>
      <protection locked="0" hidden="0"/>
    </xf>
    <xf numFmtId="0" fontId="12" fillId="9" borderId="5" applyAlignment="1" applyProtection="1" pivotButton="0" quotePrefix="0" xfId="0">
      <alignment horizontal="left" vertical="top"/>
      <protection locked="0" hidden="0"/>
    </xf>
    <xf numFmtId="0" fontId="12" fillId="9" borderId="0" applyAlignment="1" applyProtection="1" pivotButton="0" quotePrefix="0" xfId="0">
      <alignment horizontal="left" vertical="top"/>
      <protection locked="0" hidden="0"/>
    </xf>
    <xf numFmtId="0" fontId="12" fillId="9" borderId="6" applyAlignment="1" applyProtection="1" pivotButton="0" quotePrefix="0" xfId="0">
      <alignment horizontal="left" vertical="top"/>
      <protection locked="0" hidden="0"/>
    </xf>
    <xf numFmtId="0" fontId="12" fillId="9" borderId="7" applyAlignment="1" applyProtection="1" pivotButton="0" quotePrefix="0" xfId="0">
      <alignment horizontal="left" vertical="top"/>
      <protection locked="0" hidden="0"/>
    </xf>
    <xf numFmtId="0" fontId="12" fillId="9" borderId="8" applyAlignment="1" applyProtection="1" pivotButton="0" quotePrefix="0" xfId="0">
      <alignment horizontal="left" vertical="top"/>
      <protection locked="0" hidden="0"/>
    </xf>
    <xf numFmtId="0" fontId="12" fillId="9" borderId="9" applyAlignment="1" applyProtection="1" pivotButton="0" quotePrefix="0" xfId="0">
      <alignment horizontal="left" vertical="top"/>
      <protection locked="0" hidden="0"/>
    </xf>
    <xf numFmtId="0" fontId="26" fillId="9" borderId="2" applyAlignment="1" applyProtection="1" pivotButton="0" quotePrefix="0" xfId="0">
      <alignment horizontal="left" vertical="top" wrapText="1"/>
      <protection locked="0" hidden="0"/>
    </xf>
    <xf numFmtId="0" fontId="26" fillId="9" borderId="3" applyAlignment="1" applyProtection="1" pivotButton="0" quotePrefix="0" xfId="0">
      <alignment horizontal="left" vertical="top" wrapText="1"/>
      <protection locked="0" hidden="0"/>
    </xf>
    <xf numFmtId="0" fontId="26" fillId="9" borderId="4" applyAlignment="1" applyProtection="1" pivotButton="0" quotePrefix="0" xfId="0">
      <alignment horizontal="left" vertical="top" wrapText="1"/>
      <protection locked="0" hidden="0"/>
    </xf>
    <xf numFmtId="0" fontId="26" fillId="9" borderId="5" applyAlignment="1" applyProtection="1" pivotButton="0" quotePrefix="0" xfId="0">
      <alignment horizontal="left" vertical="top" wrapText="1"/>
      <protection locked="0" hidden="0"/>
    </xf>
    <xf numFmtId="0" fontId="26" fillId="9" borderId="0" applyAlignment="1" applyProtection="1" pivotButton="0" quotePrefix="0" xfId="0">
      <alignment horizontal="left" vertical="top" wrapText="1"/>
      <protection locked="0" hidden="0"/>
    </xf>
    <xf numFmtId="0" fontId="26" fillId="9" borderId="6" applyAlignment="1" applyProtection="1" pivotButton="0" quotePrefix="0" xfId="0">
      <alignment horizontal="left" vertical="top" wrapText="1"/>
      <protection locked="0" hidden="0"/>
    </xf>
    <xf numFmtId="0" fontId="26" fillId="9" borderId="7" applyAlignment="1" applyProtection="1" pivotButton="0" quotePrefix="0" xfId="0">
      <alignment horizontal="left" vertical="top" wrapText="1"/>
      <protection locked="0" hidden="0"/>
    </xf>
    <xf numFmtId="0" fontId="26" fillId="9" borderId="8" applyAlignment="1" applyProtection="1" pivotButton="0" quotePrefix="0" xfId="0">
      <alignment horizontal="left" vertical="top" wrapText="1"/>
      <protection locked="0" hidden="0"/>
    </xf>
    <xf numFmtId="0" fontId="26" fillId="9" borderId="9" applyAlignment="1" applyProtection="1" pivotButton="0" quotePrefix="0" xfId="0">
      <alignment horizontal="left" vertical="top" wrapText="1"/>
      <protection locked="0" hidden="0"/>
    </xf>
    <xf numFmtId="0" fontId="0" fillId="0" borderId="0" applyAlignment="1" pivotButton="0" quotePrefix="0" xfId="0">
      <alignment horizontal="left" wrapText="1"/>
    </xf>
    <xf numFmtId="0" fontId="13" fillId="0" borderId="4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8" pivotButton="0" quotePrefix="0" xfId="0"/>
    <xf numFmtId="0" fontId="9" fillId="8" borderId="43" applyAlignment="1" pivotButton="0" quotePrefix="0" xfId="0">
      <alignment horizontal="center" vertical="top" wrapText="1"/>
    </xf>
    <xf numFmtId="0" fontId="9" fillId="7" borderId="43" applyAlignment="1" pivotButton="0" quotePrefix="0" xfId="0">
      <alignment horizontal="center" vertical="top" wrapText="1"/>
    </xf>
    <xf numFmtId="0" fontId="10" fillId="4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20" fillId="4" borderId="40" applyAlignment="1" pivotButton="0" quotePrefix="0" xfId="0">
      <alignment vertical="center" wrapText="1"/>
    </xf>
    <xf numFmtId="0" fontId="12" fillId="4" borderId="38" applyAlignment="1" pivotButton="0" quotePrefix="0" xfId="0">
      <alignment vertical="center" wrapText="1"/>
    </xf>
    <xf numFmtId="164" fontId="12" fillId="0" borderId="38" applyAlignment="1" pivotButton="0" quotePrefix="0" xfId="0">
      <alignment horizontal="center"/>
    </xf>
    <xf numFmtId="0" fontId="0" fillId="0" borderId="41" pivotButton="0" quotePrefix="0" xfId="0"/>
    <xf numFmtId="3" fontId="22" fillId="2" borderId="43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5" fillId="2" borderId="43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18" fillId="5" borderId="1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3" pivotButton="0" quotePrefix="0" xfId="0"/>
    <xf numFmtId="0" fontId="2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165" fontId="14" fillId="2" borderId="14" applyAlignment="1" pivotButton="0" quotePrefix="0" xfId="1">
      <alignment horizontal="center" vertical="center"/>
    </xf>
    <xf numFmtId="165" fontId="14" fillId="2" borderId="12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15" fillId="6" borderId="11" applyAlignment="1" pivotButton="0" quotePrefix="0" xfId="0">
      <alignment horizontal="center"/>
    </xf>
    <xf numFmtId="165" fontId="15" fillId="11" borderId="13" applyAlignment="1" pivotButton="0" quotePrefix="0" xfId="1">
      <alignment horizontal="center" vertical="center"/>
    </xf>
    <xf numFmtId="165" fontId="15" fillId="6" borderId="11" applyAlignment="1" pivotButton="0" quotePrefix="0" xfId="1">
      <alignment horizontal="center" vertical="center"/>
    </xf>
    <xf numFmtId="165" fontId="14" fillId="2" borderId="6" applyAlignment="1" pivotButton="0" quotePrefix="0" xfId="1">
      <alignment horizontal="center" vertical="center"/>
    </xf>
    <xf numFmtId="165" fontId="14" fillId="2" borderId="16" applyAlignment="1" pivotButton="0" quotePrefix="0" xfId="1">
      <alignment horizontal="center" vertical="center"/>
    </xf>
    <xf numFmtId="0" fontId="0" fillId="0" borderId="5" pivotButton="0" quotePrefix="0" xfId="0"/>
    <xf numFmtId="0" fontId="14" fillId="0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10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/>
    </xf>
    <xf numFmtId="0" fontId="0" fillId="0" borderId="9" pivotButton="0" quotePrefix="0" xfId="0"/>
    <xf numFmtId="165" fontId="15" fillId="11" borderId="11" applyAlignment="1" pivotButton="0" quotePrefix="0" xfId="1">
      <alignment horizontal="center" vertical="center"/>
    </xf>
    <xf numFmtId="0" fontId="6" fillId="5" borderId="11" applyAlignment="1" pivotButton="0" quotePrefix="0" xfId="0">
      <alignment horizontal="center" vertical="center"/>
    </xf>
    <xf numFmtId="165" fontId="6" fillId="10" borderId="11" applyAlignment="1" pivotButton="0" quotePrefix="0" xfId="1">
      <alignment horizontal="center" vertical="center"/>
    </xf>
    <xf numFmtId="165" fontId="6" fillId="5" borderId="11" applyAlignment="1" pivotButton="0" quotePrefix="0" xfId="1">
      <alignment horizontal="center" vertical="center"/>
    </xf>
    <xf numFmtId="165" fontId="14" fillId="2" borderId="17" applyAlignment="1" pivotButton="0" quotePrefix="0" xfId="1">
      <alignment horizontal="center" vertical="center"/>
    </xf>
    <xf numFmtId="0" fontId="12" fillId="9" borderId="11" applyAlignment="1" applyProtection="1" pivotButton="0" quotePrefix="0" xfId="0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14" fillId="2" borderId="22" applyAlignment="1" pivotButton="0" quotePrefix="0" xfId="1">
      <alignment horizontal="center" vertical="center"/>
    </xf>
    <xf numFmtId="165" fontId="14" fillId="9" borderId="17" applyAlignment="1" applyProtection="1" pivotButton="0" quotePrefix="0" xfId="1">
      <alignment horizontal="center" vertical="center"/>
      <protection locked="0" hidden="0"/>
    </xf>
    <xf numFmtId="165" fontId="12" fillId="9" borderId="17" applyAlignment="1" applyProtection="1" pivotButton="0" quotePrefix="0" xfId="1">
      <alignment vertical="top" wrapText="1"/>
      <protection locked="0" hidden="0"/>
    </xf>
    <xf numFmtId="165" fontId="12" fillId="9" borderId="12" applyAlignment="1" applyProtection="1" pivotButton="0" quotePrefix="0" xfId="1">
      <alignment vertical="top" wrapText="1"/>
      <protection locked="0" hidden="0"/>
    </xf>
    <xf numFmtId="165" fontId="12" fillId="9" borderId="12" applyAlignment="1" applyProtection="1" pivotButton="0" quotePrefix="0" xfId="1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5" fontId="14" fillId="9" borderId="11" applyAlignment="1" applyProtection="1" pivotButton="0" quotePrefix="0" xfId="1">
      <alignment horizontal="center" vertical="center"/>
      <protection locked="0" hidden="0"/>
    </xf>
    <xf numFmtId="165" fontId="12" fillId="9" borderId="11" applyAlignment="1" applyProtection="1" pivotButton="0" quotePrefix="0" xfId="1">
      <alignment horizontal="center" vertical="center" wrapText="1"/>
      <protection locked="0" hidden="0"/>
    </xf>
    <xf numFmtId="0" fontId="12" fillId="9" borderId="11" applyAlignment="1" applyProtection="1" pivotButton="0" quotePrefix="0" xfId="0">
      <alignment horizontal="left" vertical="top" wrapText="1"/>
      <protection locked="0" hidden="0"/>
    </xf>
    <xf numFmtId="165" fontId="12" fillId="9" borderId="17" applyAlignment="1" applyProtection="1" pivotButton="0" quotePrefix="0" xfId="1">
      <alignment horizontal="center" vertical="center" wrapText="1"/>
      <protection locked="0" hidden="0"/>
    </xf>
    <xf numFmtId="0" fontId="26" fillId="9" borderId="11" applyAlignment="1" applyProtection="1" pivotButton="0" quotePrefix="0" xfId="0">
      <alignment horizontal="left" vertical="top" wrapText="1"/>
      <protection locked="0" hidden="0"/>
    </xf>
    <xf numFmtId="165" fontId="14" fillId="2" borderId="4" applyAlignment="1" pivotButton="0" quotePrefix="0" xfId="1">
      <alignment horizontal="center" vertical="center"/>
    </xf>
    <xf numFmtId="165" fontId="14" fillId="2" borderId="25" applyAlignment="1" pivotButton="0" quotePrefix="0" xfId="1">
      <alignment horizontal="center" vertical="center"/>
    </xf>
    <xf numFmtId="165" fontId="14" fillId="9" borderId="12" applyAlignment="1" applyProtection="1" pivotButton="0" quotePrefix="0" xfId="1">
      <alignment horizontal="center" vertical="center"/>
      <protection locked="0" hidden="0"/>
    </xf>
    <xf numFmtId="165" fontId="14" fillId="9" borderId="16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Moneda [0]" xfId="1" builtinId="7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Jose Luis Cuello Gomez</author>
  </authors>
  <commentList>
    <comment ref="B22" authorId="0" shapeId="0">
      <text>
        <t xml:space="preserve">Lista desplegable
</t>
      </text>
    </comment>
    <comment ref="C22" authorId="0" shapeId="0">
      <text>
        <t>Utilice montos redondeando a la unidad de mil más cercana</t>
      </text>
    </comment>
  </commentList>
</comments>
</file>

<file path=xl/comments/comment2.xml><?xml version="1.0" encoding="utf-8"?>
<comments xmlns="http://schemas.openxmlformats.org/spreadsheetml/2006/main">
  <authors>
    <author>Jose Luis Cuello Gomez</author>
  </authors>
  <commentList>
    <comment ref="B24" authorId="0" shapeId="0">
      <text>
        <t xml:space="preserve">Lista desplegable
</t>
      </text>
    </comment>
    <comment ref="C24" authorId="0" shapeId="0">
      <text>
        <t>Utilice montos redondeando a la unidad de mil más cercana</t>
      </text>
    </comment>
  </commentList>
</comments>
</file>

<file path=xl/comments/comment3.xml><?xml version="1.0" encoding="utf-8"?>
<comments xmlns="http://schemas.openxmlformats.org/spreadsheetml/2006/main">
  <authors>
    <author>Jose Luis Cuello Gomez</author>
  </authors>
  <commentList>
    <comment ref="B19" authorId="0" shapeId="0">
      <text>
        <t xml:space="preserve">Lista desplegable
</t>
      </text>
    </comment>
    <comment ref="C19" authorId="0" shapeId="0">
      <text>
        <t>Utilice montos redondeando a la unidad de mil más cercana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2:Q102"/>
  <sheetViews>
    <sheetView tabSelected="1" topLeftCell="A5" workbookViewId="0">
      <selection activeCell="U15" sqref="U15"/>
    </sheetView>
  </sheetViews>
  <sheetFormatPr baseColWidth="10" defaultColWidth="14.42578125" defaultRowHeight="15"/>
  <cols>
    <col width="2.7109375" customWidth="1" min="1" max="1"/>
    <col width="12.85546875" bestFit="1" customWidth="1" min="2" max="2"/>
    <col width="27.85546875" customWidth="1" min="3" max="3"/>
    <col width="13" customWidth="1" min="4" max="5"/>
    <col width="4.5703125" customWidth="1" min="6" max="17"/>
  </cols>
  <sheetData>
    <row r="2" ht="39.75" customHeight="1">
      <c r="B2" s="182" t="inlineStr">
        <is>
          <t>CARTA GANTT FOMENTO A LA VINCULACIÓN INTERNACIONAL PARA INSTITUCIONES DE INVESTIGACIÓN CONVOCATORIA 2026</t>
        </is>
      </c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4" t="n"/>
    </row>
    <row r="3" ht="15.75" customHeight="1">
      <c r="B3" s="12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5.75" customHeight="1">
      <c r="B4" s="185" t="inlineStr">
        <is>
          <t>Nombre Institución Beneficiaria</t>
        </is>
      </c>
      <c r="C4" s="184" t="n"/>
      <c r="D4" s="186" t="inlineStr">
        <is>
          <t>Universidad de Santiago de Chile</t>
        </is>
      </c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4" t="n"/>
    </row>
    <row r="5" ht="15.75" customHeight="1">
      <c r="B5" s="185" t="inlineStr">
        <is>
          <t>Título de la Propuesta</t>
        </is>
      </c>
      <c r="C5" s="184" t="n"/>
      <c r="D5" s="186" t="inlineStr">
        <is>
          <t>INTEEGRA-Saúde: salud, territorio y sustentabilidad en la atención primaria</t>
        </is>
      </c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4" t="n"/>
    </row>
    <row r="6" ht="30.75" customHeight="1"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 ht="15.75" customHeight="1">
      <c r="B7" s="113" t="inlineStr">
        <is>
          <t>*Marque con una X o pinte de color la celda corespondiente al mes en que se realizará cada actividad o se cumplirá el hito establecido para cada objetivo</t>
        </is>
      </c>
    </row>
    <row r="8" ht="15.75" customHeight="1">
      <c r="B8" s="3" t="n"/>
      <c r="C8" s="3" t="n"/>
      <c r="D8" s="3" t="n"/>
      <c r="E8" s="3" t="n"/>
      <c r="F8" s="2" t="n"/>
    </row>
    <row r="9">
      <c r="B9" s="187" t="inlineStr">
        <is>
          <t>Objetivo</t>
        </is>
      </c>
      <c r="C9" s="187" t="inlineStr">
        <is>
          <t>Actividad/Hito</t>
        </is>
      </c>
      <c r="D9" s="187" t="inlineStr">
        <is>
          <t>Fecha de 
inicio</t>
        </is>
      </c>
      <c r="E9" s="187" t="inlineStr">
        <is>
          <t>Fecha de finalización</t>
        </is>
      </c>
      <c r="F9" s="4" t="n">
        <v>1</v>
      </c>
      <c r="G9" s="4" t="n">
        <v>2</v>
      </c>
      <c r="H9" s="4" t="n">
        <v>3</v>
      </c>
      <c r="I9" s="4" t="n">
        <v>4</v>
      </c>
      <c r="J9" s="4" t="n">
        <v>5</v>
      </c>
      <c r="K9" s="4" t="n">
        <v>6</v>
      </c>
      <c r="L9" s="4" t="n">
        <v>7</v>
      </c>
      <c r="M9" s="4" t="n">
        <v>8</v>
      </c>
      <c r="N9" s="4" t="n">
        <v>9</v>
      </c>
      <c r="O9" s="4" t="n">
        <v>10</v>
      </c>
      <c r="P9" s="4" t="n">
        <v>11</v>
      </c>
      <c r="Q9" s="4" t="n">
        <v>12</v>
      </c>
    </row>
    <row r="10" ht="42" customHeight="1">
      <c r="B10" s="188" t="n"/>
      <c r="C10" s="188" t="n"/>
      <c r="D10" s="188" t="n"/>
      <c r="E10" s="188" t="n"/>
      <c r="F10" s="5" t="inlineStr">
        <is>
          <t>Mes/Año</t>
        </is>
      </c>
      <c r="G10" s="6" t="inlineStr">
        <is>
          <t>Mes/Año</t>
        </is>
      </c>
      <c r="H10" s="6" t="inlineStr">
        <is>
          <t>Mes/Año</t>
        </is>
      </c>
      <c r="I10" s="6" t="inlineStr">
        <is>
          <t>Mes/Año</t>
        </is>
      </c>
      <c r="J10" s="6" t="inlineStr">
        <is>
          <t>Mes/Año</t>
        </is>
      </c>
      <c r="K10" s="6" t="inlineStr">
        <is>
          <t>Mes/Año</t>
        </is>
      </c>
      <c r="L10" s="6" t="inlineStr">
        <is>
          <t>Mes/Año</t>
        </is>
      </c>
      <c r="M10" s="6" t="inlineStr">
        <is>
          <t>Mes/Año</t>
        </is>
      </c>
      <c r="N10" s="6" t="inlineStr">
        <is>
          <t>Mes/Año</t>
        </is>
      </c>
      <c r="O10" s="6" t="inlineStr">
        <is>
          <t>Mes/Año</t>
        </is>
      </c>
      <c r="P10" s="6" t="inlineStr">
        <is>
          <t>Mes/Año</t>
        </is>
      </c>
      <c r="Q10" s="6" t="inlineStr">
        <is>
          <t>Mes/Año</t>
        </is>
      </c>
    </row>
    <row r="11">
      <c r="B11" s="189" t="inlineStr">
        <is>
          <t>Objetivo 1 (OE1): Formalizar y activar la red USACH–UCM–UJPA–IPC–UNESPAR–UNILAB</t>
        </is>
      </c>
      <c r="C11" s="190" t="inlineStr">
        <is>
          <t>1.1 Formalizar acuerdo de colaboración y plan de trabajo entre las seis instituciones</t>
        </is>
      </c>
      <c r="D11" s="191" t="inlineStr">
        <is>
          <t>Mes 1</t>
        </is>
      </c>
      <c r="E11" s="191" t="inlineStr">
        <is>
          <t>Mes 3</t>
        </is>
      </c>
      <c r="F11" s="9" t="inlineStr">
        <is>
          <t>X</t>
        </is>
      </c>
      <c r="G11" s="9" t="inlineStr">
        <is>
          <t>X</t>
        </is>
      </c>
      <c r="H11" s="9" t="inlineStr">
        <is>
          <t>X</t>
        </is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B12" s="192" t="n"/>
      <c r="C12" s="190" t="inlineStr">
        <is>
          <t>1.2 Reuniones mensuales de coordinación de la red</t>
        </is>
      </c>
      <c r="D12" s="191" t="inlineStr">
        <is>
          <t>Mes 1</t>
        </is>
      </c>
      <c r="E12" s="191" t="inlineStr">
        <is>
          <t>Mes 12</t>
        </is>
      </c>
      <c r="F12" s="9" t="inlineStr">
        <is>
          <t>X</t>
        </is>
      </c>
      <c r="G12" s="9" t="inlineStr">
        <is>
          <t>X</t>
        </is>
      </c>
      <c r="H12" s="9" t="inlineStr">
        <is>
          <t>X</t>
        </is>
      </c>
      <c r="I12" s="9" t="inlineStr">
        <is>
          <t>X</t>
        </is>
      </c>
      <c r="J12" s="9" t="inlineStr">
        <is>
          <t>X</t>
        </is>
      </c>
      <c r="K12" s="9" t="inlineStr">
        <is>
          <t>X</t>
        </is>
      </c>
      <c r="L12" s="9" t="inlineStr">
        <is>
          <t>X</t>
        </is>
      </c>
      <c r="M12" s="9" t="inlineStr">
        <is>
          <t>X</t>
        </is>
      </c>
      <c r="N12" s="9" t="inlineStr">
        <is>
          <t>X</t>
        </is>
      </c>
      <c r="O12" s="9" t="inlineStr">
        <is>
          <t>X</t>
        </is>
      </c>
      <c r="P12" s="9" t="inlineStr">
        <is>
          <t>X</t>
        </is>
      </c>
      <c r="Q12" s="9" t="inlineStr">
        <is>
          <t>X</t>
        </is>
      </c>
    </row>
    <row r="13">
      <c r="B13" s="192" t="n"/>
      <c r="C13" s="190" t="inlineStr">
        <is>
          <t>1.3 Gestión, seguimiento y rendición mensual de actividades y finanzas</t>
        </is>
      </c>
      <c r="D13" s="191" t="inlineStr">
        <is>
          <t>Mes 1</t>
        </is>
      </c>
      <c r="E13" s="191" t="inlineStr">
        <is>
          <t>Mes 12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inlineStr">
        <is>
          <t>X</t>
        </is>
      </c>
      <c r="J13" s="9" t="inlineStr">
        <is>
          <t>X</t>
        </is>
      </c>
      <c r="K13" s="9" t="inlineStr">
        <is>
          <t>X</t>
        </is>
      </c>
      <c r="L13" s="9" t="inlineStr">
        <is>
          <t>X</t>
        </is>
      </c>
      <c r="M13" s="9" t="inlineStr">
        <is>
          <t>X</t>
        </is>
      </c>
      <c r="N13" s="9" t="inlineStr">
        <is>
          <t>X</t>
        </is>
      </c>
      <c r="O13" s="9" t="inlineStr">
        <is>
          <t>X</t>
        </is>
      </c>
      <c r="P13" s="9" t="inlineStr">
        <is>
          <t>X</t>
        </is>
      </c>
      <c r="Q13" s="9" t="inlineStr">
        <is>
          <t>X</t>
        </is>
      </c>
    </row>
    <row r="14">
      <c r="B14" s="192" t="n"/>
      <c r="C14" s="190" t="n"/>
      <c r="D14" s="191" t="n"/>
      <c r="E14" s="191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B15" s="192" t="n"/>
      <c r="C15" s="190" t="n"/>
      <c r="D15" s="191" t="n"/>
      <c r="E15" s="191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</row>
    <row r="16">
      <c r="B16" s="192" t="n"/>
      <c r="C16" s="190" t="inlineStr">
        <is>
          <t>Hito 1: acuerdo y plan de trabajo firmados (mes 3)</t>
        </is>
      </c>
      <c r="D16" s="191" t="inlineStr">
        <is>
          <t>Mes 3</t>
        </is>
      </c>
      <c r="E16" s="191" t="inlineStr">
        <is>
          <t>Mes 3</t>
        </is>
      </c>
      <c r="F16" s="9" t="n"/>
      <c r="G16" s="9" t="n"/>
      <c r="H16" s="9" t="inlineStr">
        <is>
          <t>X</t>
        </is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B17" s="192" t="n"/>
      <c r="C17" s="190" t="n"/>
      <c r="D17" s="191" t="n"/>
      <c r="E17" s="191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B18" s="189" t="inlineStr">
        <is>
          <t>Objetivo 2 (OE2): Co-diseñar y ejecutar el estudio comparado y acotado, con pasantías</t>
        </is>
      </c>
      <c r="C18" s="190" t="inlineStr">
        <is>
          <t>2.1 Diseño del protocolo común y revisión de datos secundarios</t>
        </is>
      </c>
      <c r="D18" s="191" t="inlineStr">
        <is>
          <t>Mes 2</t>
        </is>
      </c>
      <c r="E18" s="191" t="inlineStr">
        <is>
          <t>Mes 4</t>
        </is>
      </c>
      <c r="F18" s="9" t="n"/>
      <c r="G18" s="9" t="inlineStr">
        <is>
          <t>X</t>
        </is>
      </c>
      <c r="H18" s="9" t="inlineStr">
        <is>
          <t>X</t>
        </is>
      </c>
      <c r="I18" s="9" t="inlineStr">
        <is>
          <t>X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B19" s="192" t="n"/>
      <c r="C19" s="190" t="inlineStr">
        <is>
          <t>2.2 Pasantía en Coimbra (2 integrantes, 7 días): protocolo y SIG</t>
        </is>
      </c>
      <c r="D19" s="191" t="inlineStr">
        <is>
          <t>Mes 5</t>
        </is>
      </c>
      <c r="E19" s="191" t="inlineStr">
        <is>
          <t>Mes 5</t>
        </is>
      </c>
      <c r="F19" s="9" t="n"/>
      <c r="G19" s="9" t="n"/>
      <c r="H19" s="9" t="n"/>
      <c r="I19" s="9" t="n"/>
      <c r="J19" s="9" t="inlineStr">
        <is>
          <t>X</t>
        </is>
      </c>
      <c r="K19" s="9" t="n"/>
      <c r="L19" s="9" t="n"/>
      <c r="M19" s="9" t="n"/>
      <c r="N19" s="9" t="n"/>
      <c r="O19" s="9" t="n"/>
      <c r="P19" s="9" t="n"/>
      <c r="Q19" s="9" t="n"/>
    </row>
    <row r="20">
      <c r="B20" s="192" t="n"/>
      <c r="C20" s="190" t="inlineStr">
        <is>
          <t>2.3 Pasantía en Luanda (2 integrantes, 8 días): terreno con UJPA</t>
        </is>
      </c>
      <c r="D20" s="191" t="inlineStr">
        <is>
          <t>Mes 6</t>
        </is>
      </c>
      <c r="E20" s="191" t="inlineStr">
        <is>
          <t>Mes 7</t>
        </is>
      </c>
      <c r="F20" s="9" t="n"/>
      <c r="G20" s="9" t="n"/>
      <c r="H20" s="9" t="n"/>
      <c r="I20" s="9" t="n"/>
      <c r="J20" s="9" t="n"/>
      <c r="K20" s="9" t="inlineStr">
        <is>
          <t>X</t>
        </is>
      </c>
      <c r="L20" s="9" t="inlineStr">
        <is>
          <t>X</t>
        </is>
      </c>
      <c r="M20" s="9" t="n"/>
      <c r="N20" s="9" t="n"/>
      <c r="O20" s="9" t="n"/>
      <c r="P20" s="9" t="n"/>
      <c r="Q20" s="9" t="n"/>
    </row>
    <row r="21">
      <c r="B21" s="192" t="n"/>
      <c r="C21" s="190" t="inlineStr">
        <is>
          <t>2.4 Análisis geoespacial Santiago y regiones asociadas; datos de Luanda; caso documental Ceará</t>
        </is>
      </c>
      <c r="D21" s="191" t="inlineStr">
        <is>
          <t>Mes 6</t>
        </is>
      </c>
      <c r="E21" s="191" t="inlineStr">
        <is>
          <t>Mes 9</t>
        </is>
      </c>
      <c r="F21" s="9" t="n"/>
      <c r="G21" s="9" t="n"/>
      <c r="H21" s="9" t="n"/>
      <c r="I21" s="9" t="n"/>
      <c r="J21" s="9" t="n"/>
      <c r="K21" s="9" t="inlineStr">
        <is>
          <t>X</t>
        </is>
      </c>
      <c r="L21" s="9" t="inlineStr">
        <is>
          <t>X</t>
        </is>
      </c>
      <c r="M21" s="9" t="inlineStr">
        <is>
          <t>X</t>
        </is>
      </c>
      <c r="N21" s="9" t="inlineStr">
        <is>
          <t>X</t>
        </is>
      </c>
      <c r="O21" s="9" t="n"/>
      <c r="P21" s="9" t="n"/>
      <c r="Q21" s="9" t="n"/>
    </row>
    <row r="22">
      <c r="B22" s="192" t="n"/>
      <c r="C22" s="190" t="n"/>
      <c r="D22" s="191" t="n"/>
      <c r="E22" s="191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B23" s="192" t="n"/>
      <c r="C23" s="190" t="inlineStr">
        <is>
          <t>Hito 1: protocolo de estudio comparado definido (mes 5)</t>
        </is>
      </c>
      <c r="D23" s="191" t="inlineStr">
        <is>
          <t>Mes 5</t>
        </is>
      </c>
      <c r="E23" s="191" t="inlineStr">
        <is>
          <t>Mes 5</t>
        </is>
      </c>
      <c r="F23" s="9" t="n"/>
      <c r="G23" s="9" t="n"/>
      <c r="H23" s="9" t="n"/>
      <c r="I23" s="9" t="n"/>
      <c r="J23" s="9" t="inlineStr">
        <is>
          <t>X</t>
        </is>
      </c>
      <c r="K23" s="9" t="n"/>
      <c r="L23" s="9" t="n"/>
      <c r="M23" s="9" t="n"/>
      <c r="N23" s="9" t="n"/>
      <c r="O23" s="9" t="n"/>
      <c r="P23" s="9" t="n"/>
      <c r="Q23" s="9" t="n"/>
    </row>
    <row r="24">
      <c r="B24" s="192" t="n"/>
      <c r="C24" s="190" t="inlineStr">
        <is>
          <t>Hito 2: primer análisis geoespacial y datos preliminares (mes 9)</t>
        </is>
      </c>
      <c r="D24" s="191" t="inlineStr">
        <is>
          <t>Mes 9</t>
        </is>
      </c>
      <c r="E24" s="191" t="inlineStr">
        <is>
          <t>Mes 9</t>
        </is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inlineStr">
        <is>
          <t>X</t>
        </is>
      </c>
      <c r="O24" s="9" t="n"/>
      <c r="P24" s="9" t="n"/>
      <c r="Q24" s="9" t="n"/>
    </row>
    <row r="25">
      <c r="B25" s="189" t="inlineStr">
        <is>
          <t>Objetivo 3 (OE3): Impulsar el intercambio de conocimiento: seminarios, visita y taller</t>
        </is>
      </c>
      <c r="C25" s="190" t="inlineStr">
        <is>
          <t>3.1 Seminario virtual 1: APS y territorio</t>
        </is>
      </c>
      <c r="D25" s="191" t="inlineStr">
        <is>
          <t>Mes 3</t>
        </is>
      </c>
      <c r="E25" s="191" t="inlineStr">
        <is>
          <t>Mes 3</t>
        </is>
      </c>
      <c r="F25" s="9" t="n"/>
      <c r="G25" s="9" t="n"/>
      <c r="H25" s="9" t="inlineStr">
        <is>
          <t>X</t>
        </is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B26" s="192" t="n"/>
      <c r="C26" s="190" t="inlineStr">
        <is>
          <t>3.2 Seminario virtual 2: determinantes sociales y cambio climático</t>
        </is>
      </c>
      <c r="D26" s="191" t="inlineStr">
        <is>
          <t>Mes 6</t>
        </is>
      </c>
      <c r="E26" s="191" t="inlineStr">
        <is>
          <t>Mes 6</t>
        </is>
      </c>
      <c r="F26" s="9" t="n"/>
      <c r="G26" s="9" t="n"/>
      <c r="H26" s="9" t="n"/>
      <c r="I26" s="9" t="n"/>
      <c r="J26" s="9" t="n"/>
      <c r="K26" s="9" t="inlineStr">
        <is>
          <t>X</t>
        </is>
      </c>
      <c r="L26" s="9" t="n"/>
      <c r="M26" s="9" t="n"/>
      <c r="N26" s="9" t="n"/>
      <c r="O26" s="9" t="n"/>
      <c r="P26" s="9" t="n"/>
      <c r="Q26" s="9" t="n"/>
    </row>
    <row r="27">
      <c r="B27" s="192" t="n"/>
      <c r="C27" s="190" t="inlineStr">
        <is>
          <t>3.3 Visita de investigadores de Coimbra y UJPA: ponencias en Santiago</t>
        </is>
      </c>
      <c r="D27" s="191" t="inlineStr">
        <is>
          <t>Mes 8</t>
        </is>
      </c>
      <c r="E27" s="191" t="inlineStr">
        <is>
          <t>Mes 9</t>
        </is>
      </c>
      <c r="F27" s="9" t="n"/>
      <c r="G27" s="9" t="n"/>
      <c r="H27" s="9" t="n"/>
      <c r="I27" s="9" t="n"/>
      <c r="J27" s="9" t="n"/>
      <c r="K27" s="9" t="n"/>
      <c r="L27" s="9" t="n"/>
      <c r="M27" s="9" t="inlineStr">
        <is>
          <t>X</t>
        </is>
      </c>
      <c r="N27" s="9" t="inlineStr">
        <is>
          <t>X</t>
        </is>
      </c>
      <c r="O27" s="9" t="n"/>
      <c r="P27" s="9" t="n"/>
      <c r="Q27" s="9" t="n"/>
    </row>
    <row r="28">
      <c r="B28" s="192" t="n"/>
      <c r="C28" s="190" t="inlineStr">
        <is>
          <t>3.4 Taller presencial en Santiago y jornada territorial en una región asociada</t>
        </is>
      </c>
      <c r="D28" s="191" t="inlineStr">
        <is>
          <t>Mes 9</t>
        </is>
      </c>
      <c r="E28" s="191" t="inlineStr">
        <is>
          <t>Mes 9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inlineStr">
        <is>
          <t>X</t>
        </is>
      </c>
      <c r="O28" s="9" t="n"/>
      <c r="P28" s="9" t="n"/>
      <c r="Q28" s="9" t="n"/>
    </row>
    <row r="29">
      <c r="B29" s="192" t="n"/>
      <c r="C29" s="190" t="inlineStr">
        <is>
          <t>3.5 Seminario virtual 3: presentación de resultados</t>
        </is>
      </c>
      <c r="D29" s="191" t="inlineStr">
        <is>
          <t>Mes 10</t>
        </is>
      </c>
      <c r="E29" s="191" t="inlineStr">
        <is>
          <t>Mes 10</t>
        </is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inlineStr">
        <is>
          <t>X</t>
        </is>
      </c>
      <c r="P29" s="9" t="n"/>
      <c r="Q29" s="9" t="n"/>
    </row>
    <row r="30">
      <c r="B30" s="192" t="n"/>
      <c r="C30" s="190" t="inlineStr">
        <is>
          <t>Hito 1: seminarios 1 y 2 realizados (mes 6)</t>
        </is>
      </c>
      <c r="D30" s="191" t="inlineStr">
        <is>
          <t>Mes 6</t>
        </is>
      </c>
      <c r="E30" s="191" t="inlineStr">
        <is>
          <t>Mes 6</t>
        </is>
      </c>
      <c r="F30" s="9" t="n"/>
      <c r="G30" s="9" t="n"/>
      <c r="H30" s="9" t="n"/>
      <c r="I30" s="9" t="n"/>
      <c r="J30" s="9" t="n"/>
      <c r="K30" s="9" t="inlineStr">
        <is>
          <t>X</t>
        </is>
      </c>
      <c r="L30" s="9" t="n"/>
      <c r="M30" s="9" t="n"/>
      <c r="N30" s="9" t="n"/>
      <c r="O30" s="9" t="n"/>
      <c r="P30" s="9" t="n"/>
      <c r="Q30" s="9" t="n"/>
    </row>
    <row r="31">
      <c r="B31" s="192" t="n"/>
      <c r="C31" s="190" t="inlineStr">
        <is>
          <t>Hito 2: taller y seminario 3 realizados (mes 10)</t>
        </is>
      </c>
      <c r="D31" s="191" t="inlineStr">
        <is>
          <t>Mes 10</t>
        </is>
      </c>
      <c r="E31" s="191" t="inlineStr">
        <is>
          <t>Mes 10</t>
        </is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inlineStr">
        <is>
          <t>X</t>
        </is>
      </c>
      <c r="P31" s="9" t="n"/>
      <c r="Q31" s="9" t="n"/>
    </row>
    <row r="32">
      <c r="B32" s="189" t="inlineStr">
        <is>
          <t>Objetivo 4 (OE4): Proyectar la red: policy brief, artículo y propuesta conjunta</t>
        </is>
      </c>
      <c r="C32" s="190" t="inlineStr">
        <is>
          <t>4.1 Redacción y diseño del policy brief bilingüe</t>
        </is>
      </c>
      <c r="D32" s="191" t="inlineStr">
        <is>
          <t>Mes 8</t>
        </is>
      </c>
      <c r="E32" s="191" t="inlineStr">
        <is>
          <t>Mes 10</t>
        </is>
      </c>
      <c r="F32" s="9" t="n"/>
      <c r="G32" s="9" t="n"/>
      <c r="H32" s="9" t="n"/>
      <c r="I32" s="9" t="n"/>
      <c r="J32" s="9" t="n"/>
      <c r="K32" s="9" t="n"/>
      <c r="L32" s="9" t="n"/>
      <c r="M32" s="9" t="inlineStr">
        <is>
          <t>X</t>
        </is>
      </c>
      <c r="N32" s="9" t="inlineStr">
        <is>
          <t>X</t>
        </is>
      </c>
      <c r="O32" s="9" t="inlineStr">
        <is>
          <t>X</t>
        </is>
      </c>
      <c r="P32" s="9" t="n"/>
      <c r="Q32" s="9" t="n"/>
    </row>
    <row r="33">
      <c r="B33" s="192" t="n"/>
      <c r="C33" s="190" t="inlineStr">
        <is>
          <t>4.2 Redacción y envío del artículo a revista indexada</t>
        </is>
      </c>
      <c r="D33" s="191" t="inlineStr">
        <is>
          <t>Mes 9</t>
        </is>
      </c>
      <c r="E33" s="191" t="inlineStr">
        <is>
          <t>Mes 12</t>
        </is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inlineStr">
        <is>
          <t>X</t>
        </is>
      </c>
      <c r="O33" s="9" t="inlineStr">
        <is>
          <t>X</t>
        </is>
      </c>
      <c r="P33" s="9" t="inlineStr">
        <is>
          <t>X</t>
        </is>
      </c>
      <c r="Q33" s="9" t="inlineStr">
        <is>
          <t>X</t>
        </is>
      </c>
    </row>
    <row r="34">
      <c r="B34" s="192" t="n"/>
      <c r="C34" s="190" t="inlineStr">
        <is>
          <t>4.3 Preparación de propuesta conjunta a financiamiento mayor</t>
        </is>
      </c>
      <c r="D34" s="191" t="inlineStr">
        <is>
          <t>Mes 10</t>
        </is>
      </c>
      <c r="E34" s="191" t="inlineStr">
        <is>
          <t>Mes 12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inlineStr">
        <is>
          <t>X</t>
        </is>
      </c>
      <c r="P34" s="9" t="inlineStr">
        <is>
          <t>X</t>
        </is>
      </c>
      <c r="Q34" s="9" t="inlineStr">
        <is>
          <t>X</t>
        </is>
      </c>
    </row>
    <row r="35">
      <c r="B35" s="192" t="n"/>
      <c r="C35" s="190" t="inlineStr">
        <is>
          <t>4.4 Presentación de resultados en un congreso</t>
        </is>
      </c>
      <c r="D35" s="191" t="inlineStr">
        <is>
          <t>Mes 11</t>
        </is>
      </c>
      <c r="E35" s="191" t="inlineStr">
        <is>
          <t>Mes 12</t>
        </is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inlineStr">
        <is>
          <t>X</t>
        </is>
      </c>
      <c r="Q35" s="9" t="inlineStr">
        <is>
          <t>X</t>
        </is>
      </c>
    </row>
    <row r="36">
      <c r="B36" s="192" t="n"/>
      <c r="C36" s="190" t="n"/>
      <c r="D36" s="191" t="n"/>
      <c r="E36" s="191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B37" s="192" t="n"/>
      <c r="C37" s="190" t="inlineStr">
        <is>
          <t>Hito 1: policy brief publicado (mes 10)</t>
        </is>
      </c>
      <c r="D37" s="191" t="inlineStr">
        <is>
          <t>Mes 10</t>
        </is>
      </c>
      <c r="E37" s="191" t="inlineStr">
        <is>
          <t>Mes 10</t>
        </is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inlineStr">
        <is>
          <t>X</t>
        </is>
      </c>
      <c r="P37" s="9" t="n"/>
      <c r="Q37" s="9" t="n"/>
    </row>
    <row r="38">
      <c r="B38" s="192" t="n"/>
      <c r="C38" s="190" t="inlineStr">
        <is>
          <t>Hito 2: artículo sometido y propuesta conjunta presentada (mes 12)</t>
        </is>
      </c>
      <c r="D38" s="191" t="inlineStr">
        <is>
          <t>Mes 12</t>
        </is>
      </c>
      <c r="E38" s="191" t="inlineStr">
        <is>
          <t>Mes 12</t>
        </is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inlineStr">
        <is>
          <t>X</t>
        </is>
      </c>
    </row>
    <row r="39">
      <c r="B39" s="7" t="n"/>
      <c r="C39" s="7" t="n"/>
      <c r="D39" s="191" t="n"/>
      <c r="E39" s="191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>
      <c r="B40" s="7" t="n"/>
      <c r="C40" s="7" t="n"/>
      <c r="D40" s="191" t="n"/>
      <c r="E40" s="191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B41" s="7" t="n"/>
      <c r="C41" s="7" t="n"/>
      <c r="D41" s="191" t="n"/>
      <c r="E41" s="191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>
      <c r="B42" s="7" t="n"/>
      <c r="C42" s="7" t="n"/>
      <c r="D42" s="191" t="n"/>
      <c r="E42" s="191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B43" s="7" t="n"/>
      <c r="C43" s="7" t="n"/>
      <c r="D43" s="191" t="n"/>
      <c r="E43" s="191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>
      <c r="B44" s="7" t="n"/>
      <c r="C44" s="7" t="n"/>
      <c r="D44" s="191" t="n"/>
      <c r="E44" s="191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B45" s="7" t="n"/>
      <c r="C45" s="7" t="n"/>
      <c r="D45" s="191" t="n"/>
      <c r="E45" s="191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>
      <c r="B46" s="7" t="n"/>
      <c r="C46" s="7" t="n"/>
      <c r="D46" s="191" t="n"/>
      <c r="E46" s="191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B47" s="7" t="n"/>
      <c r="C47" s="7" t="n"/>
      <c r="D47" s="191" t="n"/>
      <c r="E47" s="191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</row>
    <row r="48">
      <c r="B48" s="7" t="n"/>
      <c r="C48" s="7" t="n"/>
      <c r="D48" s="191" t="n"/>
      <c r="E48" s="191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B49" s="7" t="n"/>
      <c r="C49" s="7" t="n"/>
      <c r="D49" s="191" t="n"/>
      <c r="E49" s="191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</row>
    <row r="50">
      <c r="B50" s="7" t="n"/>
      <c r="C50" s="7" t="n"/>
      <c r="D50" s="191" t="n"/>
      <c r="E50" s="191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B51" s="7" t="n"/>
      <c r="C51" s="7" t="n"/>
      <c r="D51" s="191" t="n"/>
      <c r="E51" s="191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>
      <c r="B52" s="7" t="n"/>
      <c r="C52" s="7" t="n"/>
      <c r="D52" s="191" t="n"/>
      <c r="E52" s="191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>
      <c r="B53" s="7" t="n"/>
      <c r="C53" s="7" t="n"/>
      <c r="D53" s="191" t="n"/>
      <c r="E53" s="191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>
      <c r="B54" s="7" t="n"/>
      <c r="C54" s="7" t="n"/>
      <c r="D54" s="191" t="n"/>
      <c r="E54" s="191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>
      <c r="B55" s="7" t="n"/>
      <c r="C55" s="7" t="n"/>
      <c r="D55" s="191" t="n"/>
      <c r="E55" s="19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>
      <c r="B56" s="7" t="n"/>
      <c r="C56" s="7" t="n"/>
      <c r="D56" s="191" t="n"/>
      <c r="E56" s="19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>
      <c r="B57" s="7" t="n"/>
      <c r="C57" s="7" t="n"/>
      <c r="D57" s="191" t="n"/>
      <c r="E57" s="19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>
      <c r="B58" s="7" t="n"/>
      <c r="C58" s="7" t="n"/>
      <c r="D58" s="191" t="n"/>
      <c r="E58" s="19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B59" s="7" t="n"/>
      <c r="C59" s="7" t="n"/>
      <c r="D59" s="191" t="n"/>
      <c r="E59" s="19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>
      <c r="B60" s="7" t="n"/>
      <c r="C60" s="7" t="n"/>
      <c r="D60" s="191" t="n"/>
      <c r="E60" s="19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B61" s="7" t="n"/>
      <c r="C61" s="7" t="n"/>
      <c r="D61" s="191" t="n"/>
      <c r="E61" s="19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>
      <c r="B62" s="7" t="n"/>
      <c r="C62" s="7" t="n"/>
      <c r="D62" s="191" t="n"/>
      <c r="E62" s="19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B63" s="7" t="n"/>
      <c r="C63" s="7" t="n"/>
      <c r="D63" s="191" t="n"/>
      <c r="E63" s="19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</row>
    <row r="64">
      <c r="B64" s="7" t="n"/>
      <c r="C64" s="7" t="n"/>
      <c r="D64" s="191" t="n"/>
      <c r="E64" s="19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B65" s="7" t="n"/>
      <c r="C65" s="7" t="n"/>
      <c r="D65" s="191" t="n"/>
      <c r="E65" s="19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</row>
    <row r="66">
      <c r="B66" s="7" t="n"/>
      <c r="C66" s="7" t="n"/>
      <c r="D66" s="191" t="n"/>
      <c r="E66" s="19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B67" s="7" t="n"/>
      <c r="C67" s="7" t="n"/>
      <c r="D67" s="191" t="n"/>
      <c r="E67" s="19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</row>
    <row r="68">
      <c r="B68" s="7" t="n"/>
      <c r="C68" s="7" t="n"/>
      <c r="D68" s="191" t="n"/>
      <c r="E68" s="19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B69" s="7" t="n"/>
      <c r="C69" s="7" t="n"/>
      <c r="D69" s="191" t="n"/>
      <c r="E69" s="19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</row>
    <row r="70">
      <c r="B70" s="7" t="n"/>
      <c r="C70" s="7" t="n"/>
      <c r="D70" s="191" t="n"/>
      <c r="E70" s="19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B71" s="7" t="n"/>
      <c r="C71" s="7" t="n"/>
      <c r="D71" s="191" t="n"/>
      <c r="E71" s="19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</row>
    <row r="72">
      <c r="B72" s="7" t="n"/>
      <c r="C72" s="7" t="n"/>
      <c r="D72" s="191" t="n"/>
      <c r="E72" s="19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B73" s="7" t="n"/>
      <c r="C73" s="7" t="n"/>
      <c r="D73" s="191" t="n"/>
      <c r="E73" s="19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</row>
    <row r="74">
      <c r="B74" s="7" t="n"/>
      <c r="C74" s="7" t="n"/>
      <c r="D74" s="191" t="n"/>
      <c r="E74" s="19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B75" s="7" t="n"/>
      <c r="C75" s="7" t="n"/>
      <c r="D75" s="191" t="n"/>
      <c r="E75" s="19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</row>
    <row r="76">
      <c r="B76" s="7" t="n"/>
      <c r="C76" s="7" t="n"/>
      <c r="D76" s="191" t="n"/>
      <c r="E76" s="19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B77" s="7" t="n"/>
      <c r="C77" s="7" t="n"/>
      <c r="D77" s="191" t="n"/>
      <c r="E77" s="19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</row>
    <row r="78">
      <c r="B78" s="7" t="n"/>
      <c r="C78" s="7" t="n"/>
      <c r="D78" s="191" t="n"/>
      <c r="E78" s="19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B79" s="7" t="n"/>
      <c r="C79" s="7" t="n"/>
      <c r="D79" s="191" t="n"/>
      <c r="E79" s="19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</row>
    <row r="80">
      <c r="B80" s="7" t="n"/>
      <c r="C80" s="7" t="n"/>
      <c r="D80" s="191" t="n"/>
      <c r="E80" s="19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B81" s="7" t="n"/>
      <c r="C81" s="7" t="n"/>
      <c r="D81" s="191" t="n"/>
      <c r="E81" s="19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</row>
    <row r="82">
      <c r="B82" s="7" t="n"/>
      <c r="C82" s="7" t="n"/>
      <c r="D82" s="191" t="n"/>
      <c r="E82" s="19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B83" s="7" t="n"/>
      <c r="C83" s="7" t="n"/>
      <c r="D83" s="191" t="n"/>
      <c r="E83" s="19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</row>
    <row r="84">
      <c r="B84" s="7" t="n"/>
      <c r="C84" s="7" t="n"/>
      <c r="D84" s="191" t="n"/>
      <c r="E84" s="19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B85" s="7" t="n"/>
      <c r="C85" s="7" t="n"/>
      <c r="D85" s="191" t="n"/>
      <c r="E85" s="19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</row>
    <row r="86">
      <c r="B86" s="7" t="n"/>
      <c r="C86" s="7" t="n"/>
      <c r="D86" s="191" t="n"/>
      <c r="E86" s="19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B87" s="7" t="n"/>
      <c r="C87" s="7" t="n"/>
      <c r="D87" s="191" t="n"/>
      <c r="E87" s="19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</row>
    <row r="88">
      <c r="B88" s="7" t="n"/>
      <c r="C88" s="7" t="n"/>
      <c r="D88" s="191" t="n"/>
      <c r="E88" s="19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B89" s="7" t="n"/>
      <c r="C89" s="7" t="n"/>
      <c r="D89" s="191" t="n"/>
      <c r="E89" s="19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</row>
    <row r="90">
      <c r="B90" s="7" t="n"/>
      <c r="C90" s="7" t="n"/>
      <c r="D90" s="191" t="n"/>
      <c r="E90" s="19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B91" s="7" t="n"/>
      <c r="C91" s="7" t="n"/>
      <c r="D91" s="191" t="n"/>
      <c r="E91" s="19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</row>
    <row r="92">
      <c r="B92" s="7" t="n"/>
      <c r="C92" s="7" t="n"/>
      <c r="D92" s="191" t="n"/>
      <c r="E92" s="19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B93" s="7" t="n"/>
      <c r="C93" s="7" t="n"/>
      <c r="D93" s="191" t="n"/>
      <c r="E93" s="19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</row>
    <row r="94">
      <c r="B94" s="7" t="n"/>
      <c r="C94" s="7" t="n"/>
      <c r="D94" s="191" t="n"/>
      <c r="E94" s="19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B95" s="7" t="n"/>
      <c r="C95" s="7" t="n"/>
      <c r="D95" s="191" t="n"/>
      <c r="E95" s="19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</row>
    <row r="96">
      <c r="B96" s="7" t="n"/>
      <c r="C96" s="7" t="n"/>
      <c r="D96" s="191" t="n"/>
      <c r="E96" s="19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B97" s="7" t="n"/>
      <c r="C97" s="7" t="n"/>
      <c r="D97" s="191" t="n"/>
      <c r="E97" s="19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</row>
    <row r="98">
      <c r="B98" s="7" t="n"/>
      <c r="C98" s="7" t="n"/>
      <c r="D98" s="191" t="n"/>
      <c r="E98" s="19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B99" s="7" t="n"/>
      <c r="C99" s="7" t="n"/>
      <c r="D99" s="191" t="n"/>
      <c r="E99" s="19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</row>
    <row r="100">
      <c r="B100" s="7" t="n"/>
      <c r="C100" s="7" t="n"/>
      <c r="D100" s="191" t="n"/>
      <c r="E100" s="19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B101" s="7" t="n"/>
      <c r="C101" s="7" t="n"/>
      <c r="D101" s="191" t="n"/>
      <c r="E101" s="19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</row>
    <row r="102">
      <c r="B102" s="7" t="n"/>
      <c r="C102" s="7" t="n"/>
      <c r="D102" s="191" t="n"/>
      <c r="E102" s="19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</sheetData>
  <mergeCells count="14">
    <mergeCell ref="C9:C10"/>
    <mergeCell ref="B9:B10"/>
    <mergeCell ref="D9:D10"/>
    <mergeCell ref="B32:B38"/>
    <mergeCell ref="E9:E10"/>
    <mergeCell ref="B18:B24"/>
    <mergeCell ref="B5:C5"/>
    <mergeCell ref="B25:B31"/>
    <mergeCell ref="D5:Q5"/>
    <mergeCell ref="B2:Q2"/>
    <mergeCell ref="B7:Q7"/>
    <mergeCell ref="B4:C4"/>
    <mergeCell ref="D4:Q4"/>
    <mergeCell ref="B11:B17"/>
  </mergeCells>
  <conditionalFormatting sqref="F11:Q102">
    <cfRule type="notContainsBlanks" priority="1" dxfId="1" stopIfTrue="1">
      <formula>LEN(TRIM(F11))&gt;0</formula>
    </cfRule>
    <cfRule type="expression" priority="2" dxfId="0" stopIfTrue="1">
      <formula>AND($D11&lt;=F$9,$E11&gt;=F$9)</formula>
    </cfRule>
  </conditionalFormatting>
  <dataValidations count="1">
    <dataValidation sqref="D11:E102" showDropDown="1" showInputMessage="0" showErrorMessage="0" allowBlank="1" type="custom">
      <formula1>OR(NOT(ISERROR(DATEVALUE(D11))), AND(ISNUMBER(D11), LEFT(CELL("format", D11))="D"))</formula1>
    </dataValidation>
  </dataValidations>
  <pageMargins left="0.7" right="0.7" top="0.75" bottom="0.75" header="0.3" footer="0.3"/>
  <pageSetup orientation="portrait" paperSize="9" verticalDpi="300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 fitToPage="1"/>
  </sheetPr>
  <dimension ref="B2:I48"/>
  <sheetViews>
    <sheetView topLeftCell="A25" zoomScaleNormal="100" workbookViewId="0">
      <selection activeCell="C3" sqref="C3:H4"/>
    </sheetView>
  </sheetViews>
  <sheetFormatPr baseColWidth="10" defaultColWidth="9.140625" defaultRowHeight="15"/>
  <cols>
    <col width="9.140625" customWidth="1" style="13" min="1" max="2"/>
    <col width="34.85546875" customWidth="1" style="13" min="3" max="3"/>
    <col width="18" customWidth="1" style="13" min="4" max="4"/>
    <col width="25" bestFit="1" customWidth="1" style="13" min="5" max="5"/>
    <col width="24.140625" customWidth="1" style="13" min="6" max="6"/>
    <col width="23.85546875" customWidth="1" style="13" min="7" max="8"/>
    <col width="9.140625" customWidth="1" style="13" min="9" max="16384"/>
  </cols>
  <sheetData>
    <row r="1" ht="15.75" customHeight="1" thickBot="1"/>
    <row r="2">
      <c r="B2" s="14" t="n"/>
      <c r="C2" s="15" t="n"/>
      <c r="D2" s="15" t="n"/>
      <c r="E2" s="15" t="n"/>
      <c r="F2" s="15" t="n"/>
      <c r="G2" s="15" t="n"/>
      <c r="H2" s="15" t="n"/>
      <c r="I2" s="16" t="n"/>
    </row>
    <row r="3" ht="50.25" customHeight="1">
      <c r="B3" s="17" t="n"/>
      <c r="C3" s="193" t="inlineStr">
        <is>
          <t>CONCURSO DE FOMENTO A LA VINCULACIÓN INTERNACIONAL PARA INSTITUCIONES DE INVESTIGACIÓN CONVOCATORIA 2026</t>
        </is>
      </c>
      <c r="D3" s="194" t="n"/>
      <c r="E3" s="194" t="n"/>
      <c r="F3" s="194" t="n"/>
      <c r="G3" s="194" t="n"/>
      <c r="H3" s="195" t="n"/>
      <c r="I3" s="18" t="n"/>
    </row>
    <row r="4" ht="15" customHeight="1">
      <c r="B4" s="17" t="n"/>
      <c r="C4" s="196" t="n"/>
      <c r="D4" s="197" t="n"/>
      <c r="E4" s="197" t="n"/>
      <c r="F4" s="197" t="n"/>
      <c r="G4" s="197" t="n"/>
      <c r="H4" s="198" t="n"/>
      <c r="I4" s="18" t="n"/>
    </row>
    <row r="5" ht="23.25" customHeight="1">
      <c r="B5" s="17" t="n"/>
      <c r="C5" s="137" t="n"/>
      <c r="D5" s="199" t="n"/>
      <c r="E5" s="199" t="n"/>
      <c r="F5" s="199" t="n"/>
      <c r="G5" s="199" t="n"/>
      <c r="H5" s="199" t="n"/>
      <c r="I5" s="18" t="n"/>
    </row>
    <row r="6">
      <c r="B6" s="17" t="n"/>
      <c r="C6" s="19" t="inlineStr">
        <is>
          <t>Institución Beneficiaria</t>
        </is>
      </c>
      <c r="D6" s="200" t="inlineStr">
        <is>
          <t>Universidad de Santiago de Chile</t>
        </is>
      </c>
      <c r="E6" s="201" t="n"/>
      <c r="F6" s="201" t="n"/>
      <c r="G6" s="201" t="n"/>
      <c r="H6" s="202" t="n"/>
      <c r="I6" s="18" t="n"/>
    </row>
    <row r="7">
      <c r="B7" s="17" t="n"/>
      <c r="C7" s="20" t="n"/>
      <c r="D7" s="20" t="n"/>
      <c r="E7" s="20" t="n"/>
      <c r="F7" s="20" t="n"/>
      <c r="G7" s="20" t="n"/>
      <c r="H7" s="20" t="n"/>
      <c r="I7" s="18" t="n"/>
    </row>
    <row r="8" customFormat="1" s="23">
      <c r="B8" s="21" t="n"/>
      <c r="C8" s="19" t="inlineStr">
        <is>
          <t>Nombre de la propuesta</t>
        </is>
      </c>
      <c r="D8" s="200" t="inlineStr">
        <is>
          <t>INTEEGRA-Saúde: salud, territorio y sustentabilidad en la atención primaria</t>
        </is>
      </c>
      <c r="E8" s="201" t="n"/>
      <c r="F8" s="201" t="n"/>
      <c r="G8" s="201" t="n"/>
      <c r="H8" s="202" t="n"/>
      <c r="I8" s="22" t="n"/>
    </row>
    <row r="9" customFormat="1" s="23">
      <c r="B9" s="21" t="n"/>
      <c r="C9" s="19" t="n"/>
      <c r="D9" s="24" t="n"/>
      <c r="E9" s="24" t="n"/>
      <c r="F9" s="24" t="n"/>
      <c r="G9" s="24" t="n"/>
      <c r="H9" s="24" t="n"/>
      <c r="I9" s="22" t="n"/>
    </row>
    <row r="10" customFormat="1" s="23">
      <c r="B10" s="21" t="n"/>
      <c r="C10" s="19" t="inlineStr">
        <is>
          <t>Investigador/a Responsable</t>
        </is>
      </c>
      <c r="D10" s="200" t="inlineStr">
        <is>
          <t>René André Garrido Lazo</t>
        </is>
      </c>
      <c r="E10" s="201" t="n"/>
      <c r="F10" s="201" t="n"/>
      <c r="G10" s="201" t="n"/>
      <c r="H10" s="202" t="n"/>
      <c r="I10" s="22" t="n"/>
    </row>
    <row r="11" ht="15.75" customFormat="1" customHeight="1" s="23" thickBot="1">
      <c r="B11" s="21" t="n"/>
      <c r="C11" s="19" t="n"/>
      <c r="D11" s="24" t="n"/>
      <c r="E11" s="24" t="n"/>
      <c r="F11" s="24" t="n"/>
      <c r="G11" s="24" t="n"/>
      <c r="H11" s="24" t="n"/>
      <c r="I11" s="22" t="n"/>
    </row>
    <row r="12" ht="19.5" customFormat="1" customHeight="1" s="23" thickBot="1">
      <c r="B12" s="21" t="n"/>
      <c r="C12" s="39" t="n"/>
      <c r="D12" s="40" t="n"/>
      <c r="E12" s="40" t="n"/>
      <c r="F12" s="203" t="inlineStr">
        <is>
          <t>RESUMEN PRESUPUESTO</t>
        </is>
      </c>
      <c r="G12" s="204" t="n"/>
      <c r="H12" s="205" t="n"/>
      <c r="I12" s="22" t="n"/>
    </row>
    <row r="13" ht="30.75" customFormat="1" customHeight="1" s="27" thickBot="1">
      <c r="B13" s="25" t="n"/>
      <c r="C13" s="41" t="inlineStr">
        <is>
          <t>MODALIDAD</t>
        </is>
      </c>
      <c r="D13" s="42" t="inlineStr">
        <is>
          <t xml:space="preserve"> Item</t>
        </is>
      </c>
      <c r="E13" s="42" t="inlineStr">
        <is>
          <t>Sub Item</t>
        </is>
      </c>
      <c r="F13" s="100" t="inlineStr">
        <is>
          <t>Monto total solicitado a ANID ($)</t>
        </is>
      </c>
      <c r="G13" s="42" t="inlineStr">
        <is>
          <t xml:space="preserve"> Aportes Institucionales ($)</t>
        </is>
      </c>
      <c r="H13" s="42" t="inlineStr">
        <is>
          <t>Monto Total del proyecto ($)</t>
        </is>
      </c>
      <c r="I13" s="26" t="n"/>
    </row>
    <row r="14" ht="20.1" customFormat="1" customHeight="1" s="30">
      <c r="B14" s="28" t="n"/>
      <c r="C14" s="206" t="inlineStr">
        <is>
          <t>MODALIDAD A: Pasantía/capacitación de perfeccionamiento de corta duración en el extranjero y/o acceso al uso de equipamiento científico y tecnológico, en instituciones extranjeras</t>
        </is>
      </c>
      <c r="D14" s="207" t="inlineStr">
        <is>
          <t>Gastos de operación</t>
        </is>
      </c>
      <c r="E14" s="57" t="inlineStr">
        <is>
          <t>Pasajes</t>
        </is>
      </c>
      <c r="F14" s="208">
        <f>'A - PASANTÍA-USO EQUIP'!D7</f>
        <v/>
      </c>
      <c r="G14" s="209">
        <f>'APORTES INSTUCIONALES'!E6</f>
        <v/>
      </c>
      <c r="H14" s="209">
        <f>F14+G14</f>
        <v/>
      </c>
      <c r="I14" s="29" t="n"/>
    </row>
    <row r="15" ht="20.1" customFormat="1" customHeight="1" s="30">
      <c r="B15" s="28" t="n"/>
      <c r="C15" s="210" t="n"/>
      <c r="D15" s="210" t="n"/>
      <c r="E15" s="52" t="inlineStr">
        <is>
          <t>Seguro de viaje</t>
        </is>
      </c>
      <c r="F15" s="208">
        <f>'A - PASANTÍA-USO EQUIP'!D8</f>
        <v/>
      </c>
      <c r="G15" s="209">
        <f>'APORTES INSTUCIONALES'!E7</f>
        <v/>
      </c>
      <c r="H15" s="209">
        <f>F15+G15</f>
        <v/>
      </c>
      <c r="I15" s="29" t="n"/>
    </row>
    <row r="16" ht="20.1" customFormat="1" customHeight="1" s="30">
      <c r="B16" s="28" t="n"/>
      <c r="C16" s="210" t="n"/>
      <c r="D16" s="210" t="n"/>
      <c r="E16" s="52" t="inlineStr">
        <is>
          <t>Viáticos</t>
        </is>
      </c>
      <c r="F16" s="208">
        <f>'A - PASANTÍA-USO EQUIP'!D9</f>
        <v/>
      </c>
      <c r="G16" s="209">
        <f>'APORTES INSTUCIONALES'!E8</f>
        <v/>
      </c>
      <c r="H16" s="209">
        <f>F16+G16</f>
        <v/>
      </c>
      <c r="I16" s="29" t="n"/>
    </row>
    <row r="17" ht="20.1" customFormat="1" customHeight="1" s="30">
      <c r="B17" s="28" t="n"/>
      <c r="C17" s="210" t="n"/>
      <c r="D17" s="210" t="n"/>
      <c r="E17" s="52" t="inlineStr">
        <is>
          <t>Capacitación</t>
        </is>
      </c>
      <c r="F17" s="208">
        <f>'A - PASANTÍA-USO EQUIP'!D10</f>
        <v/>
      </c>
      <c r="G17" s="209">
        <f>'APORTES INSTUCIONALES'!E9</f>
        <v/>
      </c>
      <c r="H17" s="209">
        <f>F17+G17</f>
        <v/>
      </c>
      <c r="I17" s="29" t="n"/>
    </row>
    <row r="18" ht="20.1" customFormat="1" customHeight="1" s="30">
      <c r="B18" s="28" t="n"/>
      <c r="C18" s="210" t="n"/>
      <c r="D18" s="210" t="n"/>
      <c r="E18" s="52" t="inlineStr">
        <is>
          <t>Otros</t>
        </is>
      </c>
      <c r="F18" s="208">
        <f>'A - PASANTÍA-USO EQUIP'!D11</f>
        <v/>
      </c>
      <c r="G18" s="209">
        <f>'APORTES INSTUCIONALES'!E10</f>
        <v/>
      </c>
      <c r="H18" s="209">
        <f>F18+G18</f>
        <v/>
      </c>
      <c r="I18" s="29" t="n"/>
    </row>
    <row r="19" ht="20.1" customFormat="1" customHeight="1" s="30" thickBot="1">
      <c r="B19" s="28" t="n"/>
      <c r="C19" s="210" t="n"/>
      <c r="D19" s="211" t="n"/>
      <c r="E19" s="52" t="inlineStr">
        <is>
          <t>Publicaciones</t>
        </is>
      </c>
      <c r="F19" s="208">
        <f>'A - PASANTÍA-USO EQUIP'!D12</f>
        <v/>
      </c>
      <c r="G19" s="209">
        <f>'APORTES INSTUCIONALES'!E11</f>
        <v/>
      </c>
      <c r="H19" s="209">
        <f>F19+G19</f>
        <v/>
      </c>
      <c r="I19" s="29" t="n"/>
    </row>
    <row r="20" ht="20.1" customFormat="1" customHeight="1" s="30">
      <c r="B20" s="28" t="n"/>
      <c r="C20" s="210" t="n"/>
      <c r="D20" s="141" t="inlineStr">
        <is>
          <t>Equipamiento</t>
        </is>
      </c>
      <c r="E20" s="58" t="inlineStr">
        <is>
          <t>Arriendo de equipos</t>
        </is>
      </c>
      <c r="F20" s="208">
        <f>'A - PASANTÍA-USO EQUIP'!D13</f>
        <v/>
      </c>
      <c r="G20" s="209">
        <f>'APORTES INSTUCIONALES'!E12</f>
        <v/>
      </c>
      <c r="H20" s="209">
        <f>F20+G20</f>
        <v/>
      </c>
      <c r="I20" s="29" t="n"/>
    </row>
    <row r="21" ht="20.1" customFormat="1" customHeight="1" s="23" thickBot="1">
      <c r="B21" s="21" t="n"/>
      <c r="C21" s="210" t="n"/>
      <c r="D21" s="210" t="n"/>
      <c r="E21" s="59" t="inlineStr">
        <is>
          <t>Equipamiento menor</t>
        </is>
      </c>
      <c r="F21" s="208">
        <f>'A - PASANTÍA-USO EQUIP'!D14</f>
        <v/>
      </c>
      <c r="G21" s="209">
        <f>'APORTES INSTUCIONALES'!E13</f>
        <v/>
      </c>
      <c r="H21" s="209">
        <f>F21+G21</f>
        <v/>
      </c>
      <c r="I21" s="22" t="n"/>
    </row>
    <row r="22" ht="20.1" customFormat="1" customHeight="1" s="23" thickBot="1">
      <c r="B22" s="21" t="n"/>
      <c r="C22" s="211" t="n"/>
      <c r="D22" s="212" t="inlineStr">
        <is>
          <t>Subtotal ($)</t>
        </is>
      </c>
      <c r="E22" s="205" t="n"/>
      <c r="F22" s="213">
        <f>SUM(F14:F21)</f>
        <v/>
      </c>
      <c r="G22" s="214">
        <f>SUM(G14:G21)</f>
        <v/>
      </c>
      <c r="H22" s="214">
        <f>SUM(H14:H21)</f>
        <v/>
      </c>
      <c r="I22" s="22" t="n"/>
    </row>
    <row r="23" ht="30.75" customFormat="1" customHeight="1" s="23" thickBot="1">
      <c r="B23" s="21" t="n"/>
      <c r="C23" s="146" t="inlineStr">
        <is>
          <t>MODALIDAD B: Atracción de investigadores/as o académicos/as de Instituciones Extranjeras</t>
        </is>
      </c>
      <c r="D23" s="130" t="inlineStr">
        <is>
          <t xml:space="preserve">Gastos en personal </t>
        </is>
      </c>
      <c r="E23" s="60" t="inlineStr">
        <is>
          <t>Honorarios</t>
        </is>
      </c>
      <c r="F23" s="215">
        <f>'B - ATRACCIÓN INVESTIGADORE'!D7</f>
        <v/>
      </c>
      <c r="G23" s="216">
        <f>'APORTES INSTUCIONALES'!E15</f>
        <v/>
      </c>
      <c r="H23" s="216">
        <f>F23+G23</f>
        <v/>
      </c>
      <c r="I23" s="22" t="n"/>
    </row>
    <row r="24" ht="20.1" customFormat="1" customHeight="1" s="23">
      <c r="B24" s="21" t="n"/>
      <c r="C24" s="217" t="n"/>
      <c r="D24" s="218" t="inlineStr">
        <is>
          <t>Gastos de operación</t>
        </is>
      </c>
      <c r="E24" s="61" t="inlineStr">
        <is>
          <t>Pasajes</t>
        </is>
      </c>
      <c r="F24" s="208">
        <f>'B - ATRACCIÓN INVESTIGADORE'!D8</f>
        <v/>
      </c>
      <c r="G24" s="209">
        <f>'APORTES INSTUCIONALES'!E16</f>
        <v/>
      </c>
      <c r="H24" s="209">
        <f>F24+G24</f>
        <v/>
      </c>
      <c r="I24" s="22" t="n"/>
    </row>
    <row r="25" ht="20.1" customFormat="1" customHeight="1" s="23">
      <c r="B25" s="21" t="n"/>
      <c r="C25" s="217" t="n"/>
      <c r="D25" s="217" t="n"/>
      <c r="E25" s="52" t="inlineStr">
        <is>
          <t>Viáticos</t>
        </is>
      </c>
      <c r="F25" s="208">
        <f>'B - ATRACCIÓN INVESTIGADORE'!D9</f>
        <v/>
      </c>
      <c r="G25" s="209">
        <f>'APORTES INSTUCIONALES'!E17</f>
        <v/>
      </c>
      <c r="H25" s="209">
        <f>F25+G25</f>
        <v/>
      </c>
      <c r="I25" s="22" t="n"/>
    </row>
    <row r="26" ht="20.1" customFormat="1" customHeight="1" s="23">
      <c r="B26" s="21" t="n"/>
      <c r="C26" s="217" t="n"/>
      <c r="D26" s="217" t="n"/>
      <c r="E26" s="61" t="inlineStr">
        <is>
          <t>Seguro de viaje</t>
        </is>
      </c>
      <c r="F26" s="208">
        <f>'B - ATRACCIÓN INVESTIGADORE'!D10</f>
        <v/>
      </c>
      <c r="G26" s="209">
        <f>'APORTES INSTUCIONALES'!E18</f>
        <v/>
      </c>
      <c r="H26" s="209">
        <f>F26+G26</f>
        <v/>
      </c>
      <c r="I26" s="22" t="n"/>
    </row>
    <row r="27" ht="20.1" customFormat="1" customHeight="1" s="23">
      <c r="B27" s="21" t="n"/>
      <c r="C27" s="217" t="n"/>
      <c r="D27" s="217" t="n"/>
      <c r="E27" s="61" t="inlineStr">
        <is>
          <t>Otros</t>
        </is>
      </c>
      <c r="F27" s="208">
        <f>'B - ATRACCIÓN INVESTIGADORE'!D11</f>
        <v/>
      </c>
      <c r="G27" s="209">
        <f>'APORTES INSTUCIONALES'!E19</f>
        <v/>
      </c>
      <c r="H27" s="209">
        <f>F27+G27</f>
        <v/>
      </c>
      <c r="I27" s="22" t="n"/>
    </row>
    <row r="28" ht="20.1" customFormat="1" customHeight="1" s="23" thickBot="1">
      <c r="B28" s="21" t="n"/>
      <c r="C28" s="217" t="n"/>
      <c r="D28" s="219" t="n"/>
      <c r="E28" s="61" t="inlineStr">
        <is>
          <t>Publicaciones</t>
        </is>
      </c>
      <c r="F28" s="208">
        <f>'B - ATRACCIÓN INVESTIGADORE'!D12</f>
        <v/>
      </c>
      <c r="G28" s="209">
        <f>'APORTES INSTUCIONALES'!E20</f>
        <v/>
      </c>
      <c r="H28" s="209">
        <f>F28+G28</f>
        <v/>
      </c>
      <c r="I28" s="22" t="n"/>
    </row>
    <row r="29" ht="20.1" customFormat="1" customHeight="1" s="23" thickBot="1">
      <c r="B29" s="21" t="n"/>
      <c r="C29" s="217" t="n"/>
      <c r="D29" s="53" t="inlineStr">
        <is>
          <t>Equipamiento</t>
        </is>
      </c>
      <c r="E29" s="62" t="inlineStr">
        <is>
          <t>Equipamiento menor</t>
        </is>
      </c>
      <c r="F29" s="208">
        <f>'B - ATRACCIÓN INVESTIGADORE'!D13</f>
        <v/>
      </c>
      <c r="G29" s="209">
        <f>'APORTES INSTUCIONALES'!E21</f>
        <v/>
      </c>
      <c r="H29" s="209">
        <f>F29+G29</f>
        <v/>
      </c>
      <c r="I29" s="22" t="n"/>
    </row>
    <row r="30" ht="20.1" customFormat="1" customHeight="1" s="23" thickBot="1">
      <c r="B30" s="21" t="n"/>
      <c r="C30" s="217" t="n"/>
      <c r="D30" s="212" t="inlineStr">
        <is>
          <t>Subtotal ($)</t>
        </is>
      </c>
      <c r="E30" s="205" t="n"/>
      <c r="F30" s="213">
        <f>SUM(F23:F29)</f>
        <v/>
      </c>
      <c r="G30" s="214">
        <f>SUM(G23:G29)</f>
        <v/>
      </c>
      <c r="H30" s="214">
        <f>SUM(H23:H29)</f>
        <v/>
      </c>
      <c r="I30" s="22" t="n"/>
    </row>
    <row r="31" ht="20.1" customFormat="1" customHeight="1" s="23">
      <c r="B31" s="21" t="n"/>
      <c r="C31" s="220" t="inlineStr">
        <is>
          <t>MODALIDAD C: Realización de talleres o seminarios bilaterales y/o multilaterales. Asistencia a conferencias o seminarios</t>
        </is>
      </c>
      <c r="D31" s="207" t="inlineStr">
        <is>
          <t>Gastos de operación</t>
        </is>
      </c>
      <c r="E31" s="63" t="inlineStr">
        <is>
          <t>Difusión</t>
        </is>
      </c>
      <c r="F31" s="215">
        <f>'C - TALLERES O SEMINARIOS 2'!D7</f>
        <v/>
      </c>
      <c r="G31" s="216">
        <f>'APORTES INSTUCIONALES'!E23</f>
        <v/>
      </c>
      <c r="H31" s="216">
        <f>F31+G31</f>
        <v/>
      </c>
      <c r="I31" s="22" t="n"/>
    </row>
    <row r="32" ht="20.1" customFormat="1" customHeight="1" s="23">
      <c r="B32" s="21" t="n"/>
      <c r="C32" s="217" t="n"/>
      <c r="D32" s="210" t="n"/>
      <c r="E32" s="64" t="inlineStr">
        <is>
          <t>Pasajes</t>
        </is>
      </c>
      <c r="F32" s="208">
        <f>'C - TALLERES O SEMINARIOS 2'!D8</f>
        <v/>
      </c>
      <c r="G32" s="209">
        <f>'APORTES INSTUCIONALES'!E24</f>
        <v/>
      </c>
      <c r="H32" s="209">
        <f>F32+G32</f>
        <v/>
      </c>
      <c r="I32" s="22" t="n"/>
    </row>
    <row r="33" ht="20.1" customFormat="1" customHeight="1" s="23">
      <c r="B33" s="21" t="n"/>
      <c r="C33" s="217" t="n"/>
      <c r="D33" s="210" t="n"/>
      <c r="E33" s="52" t="inlineStr">
        <is>
          <t>Viáticos</t>
        </is>
      </c>
      <c r="F33" s="208">
        <f>'C - TALLERES O SEMINARIOS 2'!D9</f>
        <v/>
      </c>
      <c r="G33" s="209">
        <f>'APORTES INSTUCIONALES'!E25</f>
        <v/>
      </c>
      <c r="H33" s="209">
        <f>F33+G33</f>
        <v/>
      </c>
      <c r="I33" s="22" t="n"/>
    </row>
    <row r="34" ht="20.1" customFormat="1" customHeight="1" s="23">
      <c r="B34" s="21" t="n"/>
      <c r="C34" s="217" t="n"/>
      <c r="D34" s="210" t="n"/>
      <c r="E34" s="64" t="inlineStr">
        <is>
          <t>Seguro de viaje</t>
        </is>
      </c>
      <c r="F34" s="208">
        <f>'C - TALLERES O SEMINARIOS 2'!D10</f>
        <v/>
      </c>
      <c r="G34" s="209">
        <f>'APORTES INSTUCIONALES'!E26</f>
        <v/>
      </c>
      <c r="H34" s="209">
        <f>F34+G34</f>
        <v/>
      </c>
      <c r="I34" s="22" t="n"/>
    </row>
    <row r="35" ht="20.1" customFormat="1" customHeight="1" s="23">
      <c r="B35" s="21" t="n"/>
      <c r="C35" s="217" t="n"/>
      <c r="D35" s="210" t="n"/>
      <c r="E35" s="65" t="inlineStr">
        <is>
          <t>Seminarios / Congresos</t>
        </is>
      </c>
      <c r="F35" s="208">
        <f>'C - TALLERES O SEMINARIOS 2'!D11</f>
        <v/>
      </c>
      <c r="G35" s="209">
        <f>'APORTES INSTUCIONALES'!E27</f>
        <v/>
      </c>
      <c r="H35" s="209">
        <f>F35+G35</f>
        <v/>
      </c>
      <c r="I35" s="22" t="n"/>
    </row>
    <row r="36" ht="20.1" customFormat="1" customHeight="1" s="23">
      <c r="B36" s="21" t="n"/>
      <c r="C36" s="217" t="n"/>
      <c r="D36" s="210" t="n"/>
      <c r="E36" s="65" t="inlineStr">
        <is>
          <t>Publicaciones</t>
        </is>
      </c>
      <c r="F36" s="208">
        <f>'C - TALLERES O SEMINARIOS 2'!D12</f>
        <v/>
      </c>
      <c r="G36" s="209">
        <f>'APORTES INSTUCIONALES'!E28</f>
        <v/>
      </c>
      <c r="H36" s="209">
        <f>F36+G36</f>
        <v/>
      </c>
      <c r="I36" s="22" t="n"/>
    </row>
    <row r="37" ht="20.1" customFormat="1" customHeight="1" s="23" thickBot="1">
      <c r="B37" s="21" t="n"/>
      <c r="C37" s="217" t="n"/>
      <c r="D37" s="211" t="n"/>
      <c r="E37" s="66" t="inlineStr">
        <is>
          <t>Otros</t>
        </is>
      </c>
      <c r="F37" s="208">
        <f>'C - TALLERES O SEMINARIOS 2'!D13</f>
        <v/>
      </c>
      <c r="G37" s="209">
        <f>'APORTES INSTUCIONALES'!E29</f>
        <v/>
      </c>
      <c r="H37" s="209">
        <f>F37+G37</f>
        <v/>
      </c>
      <c r="I37" s="22" t="n"/>
    </row>
    <row r="38" ht="20.1" customFormat="1" customHeight="1" s="23" thickBot="1">
      <c r="B38" s="21" t="n"/>
      <c r="C38" s="219" t="n"/>
      <c r="D38" s="221" t="inlineStr">
        <is>
          <t>Subtotal ($)</t>
        </is>
      </c>
      <c r="E38" s="222" t="n"/>
      <c r="F38" s="223">
        <f>SUM(F31:F37)</f>
        <v/>
      </c>
      <c r="G38" s="214">
        <f>SUM(G31:G37)</f>
        <v/>
      </c>
      <c r="H38" s="214">
        <f>SUM(H31:H37)</f>
        <v/>
      </c>
      <c r="I38" s="22" t="n"/>
    </row>
    <row r="39" ht="15.75" customFormat="1" customHeight="1" s="30" thickBot="1">
      <c r="B39" s="28" t="n"/>
      <c r="C39" s="45" t="n"/>
      <c r="D39" s="46" t="n"/>
      <c r="E39" s="46" t="n"/>
      <c r="F39" s="47" t="n"/>
      <c r="G39" s="47" t="n"/>
      <c r="H39" s="47" t="n"/>
      <c r="I39" s="29" t="n"/>
    </row>
    <row r="40" ht="24" customFormat="1" customHeight="1" s="23" thickBot="1">
      <c r="B40" s="21" t="n"/>
      <c r="C40" s="224" t="inlineStr">
        <is>
          <t>TOTAL ($)</t>
        </is>
      </c>
      <c r="D40" s="205" t="n"/>
      <c r="E40" s="152" t="n"/>
      <c r="F40" s="225">
        <f>F38+F30+F22</f>
        <v/>
      </c>
      <c r="G40" s="226">
        <f>G38+G30+G22</f>
        <v/>
      </c>
      <c r="H40" s="226">
        <f>H38+H30+H22</f>
        <v/>
      </c>
      <c r="I40" s="22" t="n"/>
    </row>
    <row r="41">
      <c r="B41" s="31" t="n"/>
      <c r="I41" s="32" t="n"/>
    </row>
    <row r="42" ht="15.75" customHeight="1" thickBot="1">
      <c r="B42" s="33" t="n"/>
      <c r="C42" s="34" t="n"/>
      <c r="D42" s="34" t="n"/>
      <c r="E42" s="34" t="n"/>
      <c r="F42" s="34" t="n"/>
      <c r="G42" s="34" t="n"/>
      <c r="H42" s="34" t="n"/>
      <c r="I42" s="35" t="n"/>
    </row>
    <row r="44" ht="15.75" customHeight="1">
      <c r="B44" s="36" t="inlineStr">
        <is>
          <t>Notas:</t>
        </is>
      </c>
      <c r="C44" s="37" t="n"/>
      <c r="D44" s="37" t="n"/>
      <c r="E44" s="37" t="n"/>
      <c r="F44" s="38" t="n"/>
    </row>
    <row r="45" ht="15.75" customHeight="1">
      <c r="B45" s="36" t="inlineStr">
        <is>
          <t>1.- En los  numerales 2.5.3 y 2.5.4 de las bases del consurso se encuentra la información o detalle de los ítems que se pueden solicitar a ANID.</t>
        </is>
      </c>
      <c r="C45" s="37" t="n"/>
      <c r="D45" s="37" t="n"/>
      <c r="E45" s="37" t="n"/>
      <c r="F45" s="38" t="n"/>
    </row>
    <row r="46" ht="15.75" customHeight="1">
      <c r="B46" s="97" t="inlineStr">
        <is>
          <t xml:space="preserve">2.- Esta hoja se autocompleta con la información ingresada en las hojas correspondientes a cada modalidad. </t>
        </is>
      </c>
      <c r="C46" s="37" t="n"/>
      <c r="D46" s="37" t="n"/>
      <c r="E46" s="37" t="n"/>
      <c r="F46" s="38" t="n"/>
    </row>
    <row r="47" ht="16.5" customHeight="1" thickBot="1">
      <c r="B47" s="36" t="inlineStr">
        <is>
          <t>3.- El detalle de los gastos por modalidad se debe presentar en la respectiva hoja de este archivo, especificando los sub ítems por cada ítem financiable.</t>
        </is>
      </c>
    </row>
    <row r="48" ht="15.75" customHeight="1">
      <c r="B48" s="36" t="inlineStr">
        <is>
          <t>4.- El monto total solicitado a ANID no pdrá superar los $30.000.000.- de acuerdo con lo señalado en el numeral 2.5.1 de las bases concursales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bJZKCgfwU5uPMmOghvR2Gw==" formatRows="1" sort="1" spinCount="100000" hashValue="dZbLN1h8x9QdjX4jsv5bb3O8mLmrj81dEs3zCmnyI73B+0W8GLcrhzFCTy61Fv8Ft9A73V1iCoDidTj9KRZjmw=="/>
  <mergeCells count="17">
    <mergeCell ref="C14:C22"/>
    <mergeCell ref="D31:D37"/>
    <mergeCell ref="C31:C38"/>
    <mergeCell ref="D6:H6"/>
    <mergeCell ref="D8:H8"/>
    <mergeCell ref="D30:E30"/>
    <mergeCell ref="D10:H10"/>
    <mergeCell ref="C5:H5"/>
    <mergeCell ref="D38:E38"/>
    <mergeCell ref="D24:D28"/>
    <mergeCell ref="D22:E22"/>
    <mergeCell ref="C40:D40"/>
    <mergeCell ref="C23:C30"/>
    <mergeCell ref="D14:D19"/>
    <mergeCell ref="D20:D21"/>
    <mergeCell ref="C3:H4"/>
    <mergeCell ref="F12:H12"/>
  </mergeCells>
  <pageMargins left="0.7" right="0.7" top="0.75" bottom="0.75" header="0.3" footer="0.3"/>
  <pageSetup orientation="landscape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2"/>
  <sheetViews>
    <sheetView workbookViewId="0">
      <selection activeCell="C32" sqref="C32"/>
    </sheetView>
  </sheetViews>
  <sheetFormatPr baseColWidth="10" defaultRowHeight="15"/>
  <cols>
    <col width="11.42578125" customWidth="1" style="76" min="1" max="1"/>
    <col width="29.42578125" customWidth="1" style="76" min="2" max="2"/>
    <col width="20.7109375" customWidth="1" style="76" min="3" max="3"/>
    <col width="46.28515625" customWidth="1" style="76" min="4" max="4"/>
    <col width="5.28515625" customWidth="1" style="76" min="5" max="5"/>
    <col width="6.5703125" customWidth="1" style="76" min="6" max="6"/>
    <col width="8.140625" customWidth="1" style="76" min="7" max="7"/>
    <col width="11.42578125" customWidth="1" style="76" min="8" max="14"/>
  </cols>
  <sheetData>
    <row r="2">
      <c r="B2" s="80" t="inlineStr">
        <is>
          <t>FINANCIAMIENTO SOLICITADO A ANID</t>
        </is>
      </c>
    </row>
    <row r="4">
      <c r="B4" s="80" t="inlineStr">
        <is>
          <t>MODALIDAD A: Pasantía/capacitación de perfeccionamiento de corta duración en el extranjero y/o acceso al uso de equipamiento científico y tecnológico, en instituciones extranjeras</t>
        </is>
      </c>
    </row>
    <row r="5" ht="15.75" customHeight="1" thickBot="1"/>
    <row r="6" ht="15.75" customHeight="1" thickBot="1">
      <c r="B6" s="81" t="inlineStr">
        <is>
          <t xml:space="preserve"> Item</t>
        </is>
      </c>
      <c r="C6" s="81" t="inlineStr">
        <is>
          <t>Sub Item</t>
        </is>
      </c>
      <c r="D6" s="81" t="inlineStr">
        <is>
          <t>Monto total solicitado a ANID ($)</t>
        </is>
      </c>
      <c r="G6" s="85" t="n"/>
      <c r="H6" s="85" t="inlineStr">
        <is>
          <t>JUSTIFICACIÓN DEL FINANCIAMIENTO SOLICITADO A ANID</t>
        </is>
      </c>
      <c r="Q6" s="76" t="n"/>
      <c r="R6" s="76" t="n"/>
      <c r="S6" s="76" t="n"/>
    </row>
    <row r="7">
      <c r="B7" s="207" t="inlineStr">
        <is>
          <t>Gastos de operación</t>
        </is>
      </c>
      <c r="C7" s="57" t="inlineStr">
        <is>
          <t>Pasajes</t>
        </is>
      </c>
      <c r="D7" s="227">
        <f>SUMIF($B$23:$B$82,C7,$C$23:$C$82)</f>
        <v/>
      </c>
      <c r="F7" s="87" t="n"/>
      <c r="G7" s="87" t="n"/>
      <c r="H7" s="228" t="n"/>
      <c r="I7" s="229" t="n"/>
      <c r="J7" s="229" t="n"/>
      <c r="K7" s="229" t="n"/>
      <c r="L7" s="229" t="n"/>
      <c r="M7" s="229" t="n"/>
      <c r="N7" s="229" t="n"/>
      <c r="O7" s="229" t="n"/>
      <c r="P7" s="230" t="n"/>
      <c r="Q7" s="76" t="n"/>
      <c r="R7" s="76" t="n"/>
      <c r="S7" s="94" t="inlineStr">
        <is>
          <t>Pasajes</t>
        </is>
      </c>
    </row>
    <row r="8">
      <c r="B8" s="210" t="n"/>
      <c r="C8" s="52" t="inlineStr">
        <is>
          <t>Seguro de viaje</t>
        </is>
      </c>
      <c r="D8" s="209">
        <f>SUMIF($B$23:$B$82,C8,$C$23:$C$82)</f>
        <v/>
      </c>
      <c r="F8" s="87" t="n"/>
      <c r="G8" s="87" t="n"/>
      <c r="H8" s="231" t="n"/>
      <c r="I8" s="199" t="n"/>
      <c r="J8" s="199" t="n"/>
      <c r="K8" s="199" t="n"/>
      <c r="L8" s="199" t="n"/>
      <c r="M8" s="199" t="n"/>
      <c r="N8" s="199" t="n"/>
      <c r="O8" s="199" t="n"/>
      <c r="P8" s="232" t="n"/>
      <c r="Q8" s="76" t="n"/>
      <c r="R8" s="76" t="n"/>
      <c r="S8" s="94" t="inlineStr">
        <is>
          <t>Seguro de viaje</t>
        </is>
      </c>
    </row>
    <row r="9">
      <c r="B9" s="210" t="n"/>
      <c r="C9" s="52" t="inlineStr">
        <is>
          <t>Viático</t>
        </is>
      </c>
      <c r="D9" s="209">
        <f>SUMIF($B$23:$B$82,C9,$C$23:$C$82)</f>
        <v/>
      </c>
      <c r="F9" s="87" t="n"/>
      <c r="G9" s="87" t="n"/>
      <c r="H9" s="231" t="n"/>
      <c r="I9" s="199" t="n"/>
      <c r="J9" s="199" t="n"/>
      <c r="K9" s="199" t="n"/>
      <c r="L9" s="199" t="n"/>
      <c r="M9" s="199" t="n"/>
      <c r="N9" s="199" t="n"/>
      <c r="O9" s="199" t="n"/>
      <c r="P9" s="232" t="n"/>
      <c r="Q9" s="76" t="n"/>
      <c r="R9" s="76" t="n"/>
      <c r="S9" s="94" t="inlineStr">
        <is>
          <t>Viático</t>
        </is>
      </c>
    </row>
    <row r="10">
      <c r="B10" s="210" t="n"/>
      <c r="C10" s="52" t="inlineStr">
        <is>
          <t>Capacitación</t>
        </is>
      </c>
      <c r="D10" s="209">
        <f>SUMIF($B$23:$B$82,C10,$C$23:$C$82)</f>
        <v/>
      </c>
      <c r="F10" s="87" t="n"/>
      <c r="G10" s="87" t="n"/>
      <c r="H10" s="231" t="n"/>
      <c r="I10" s="199" t="n"/>
      <c r="J10" s="199" t="n"/>
      <c r="K10" s="199" t="n"/>
      <c r="L10" s="199" t="n"/>
      <c r="M10" s="199" t="n"/>
      <c r="N10" s="199" t="n"/>
      <c r="O10" s="199" t="n"/>
      <c r="P10" s="232" t="n"/>
      <c r="Q10" s="76" t="n"/>
      <c r="R10" s="76" t="n"/>
      <c r="S10" s="94" t="inlineStr">
        <is>
          <t>Capacitación</t>
        </is>
      </c>
    </row>
    <row r="11">
      <c r="B11" s="210" t="n"/>
      <c r="C11" s="52" t="inlineStr">
        <is>
          <t>Otros</t>
        </is>
      </c>
      <c r="D11" s="209">
        <f>SUMIF($B$23:$B$82,C11,$C$23:$C$82)</f>
        <v/>
      </c>
      <c r="F11" s="87" t="n"/>
      <c r="G11" s="87" t="n"/>
      <c r="H11" s="231" t="n"/>
      <c r="I11" s="199" t="n"/>
      <c r="J11" s="199" t="n"/>
      <c r="K11" s="199" t="n"/>
      <c r="L11" s="199" t="n"/>
      <c r="M11" s="199" t="n"/>
      <c r="N11" s="199" t="n"/>
      <c r="O11" s="199" t="n"/>
      <c r="P11" s="232" t="n"/>
      <c r="Q11" s="76" t="n"/>
      <c r="R11" s="76" t="n"/>
      <c r="S11" s="94" t="inlineStr">
        <is>
          <t>Otros</t>
        </is>
      </c>
    </row>
    <row r="12" ht="15.75" customHeight="1" thickBot="1">
      <c r="B12" s="211" t="n"/>
      <c r="C12" s="52" t="inlineStr">
        <is>
          <t>Publicaciones</t>
        </is>
      </c>
      <c r="D12" s="209">
        <f>SUMIF($B$23:$B$82,C12,$C$23:$C$82)</f>
        <v/>
      </c>
      <c r="F12" s="87" t="n"/>
      <c r="G12" s="87" t="n"/>
      <c r="H12" s="231" t="n"/>
      <c r="I12" s="199" t="n"/>
      <c r="J12" s="199" t="n"/>
      <c r="K12" s="199" t="n"/>
      <c r="L12" s="199" t="n"/>
      <c r="M12" s="199" t="n"/>
      <c r="N12" s="199" t="n"/>
      <c r="O12" s="199" t="n"/>
      <c r="P12" s="232" t="n"/>
      <c r="Q12" s="76" t="n"/>
      <c r="R12" s="76" t="n"/>
      <c r="S12" s="94" t="inlineStr">
        <is>
          <t>Publicaciones</t>
        </is>
      </c>
    </row>
    <row r="13">
      <c r="B13" s="72" t="inlineStr">
        <is>
          <t>Equipamiento</t>
        </is>
      </c>
      <c r="C13" s="83" t="inlineStr">
        <is>
          <t>Arriendo de equipos</t>
        </is>
      </c>
      <c r="D13" s="209">
        <f>SUMIF($B$23:$B$82,C13,$C$23:$C$82)</f>
        <v/>
      </c>
      <c r="F13" s="87" t="n"/>
      <c r="G13" s="87" t="n"/>
      <c r="H13" s="231" t="n"/>
      <c r="I13" s="199" t="n"/>
      <c r="J13" s="199" t="n"/>
      <c r="K13" s="199" t="n"/>
      <c r="L13" s="199" t="n"/>
      <c r="M13" s="199" t="n"/>
      <c r="N13" s="199" t="n"/>
      <c r="O13" s="199" t="n"/>
      <c r="P13" s="232" t="n"/>
      <c r="Q13" s="76" t="n"/>
      <c r="R13" s="76" t="n"/>
      <c r="S13" s="95" t="inlineStr">
        <is>
          <t>Arriendo de equipos</t>
        </is>
      </c>
    </row>
    <row r="14" ht="15.75" customHeight="1" thickBot="1">
      <c r="B14" s="211" t="n"/>
      <c r="C14" s="84" t="inlineStr">
        <is>
          <t>Equipamiento menor</t>
        </is>
      </c>
      <c r="D14" s="233">
        <f>SUMIF($B$23:$B$82,C14,$C$23:$C$82)</f>
        <v/>
      </c>
      <c r="F14" s="87" t="n"/>
      <c r="G14" s="87" t="n"/>
      <c r="H14" s="231" t="n"/>
      <c r="I14" s="199" t="n"/>
      <c r="J14" s="199" t="n"/>
      <c r="K14" s="199" t="n"/>
      <c r="L14" s="199" t="n"/>
      <c r="M14" s="199" t="n"/>
      <c r="N14" s="199" t="n"/>
      <c r="O14" s="199" t="n"/>
      <c r="P14" s="232" t="n"/>
      <c r="Q14" s="76" t="n"/>
      <c r="R14" s="76" t="n"/>
      <c r="S14" s="95" t="inlineStr">
        <is>
          <t>Equipamiento menor</t>
        </is>
      </c>
    </row>
    <row r="15">
      <c r="H15" s="231" t="n"/>
      <c r="I15" s="199" t="n"/>
      <c r="J15" s="199" t="n"/>
      <c r="K15" s="199" t="n"/>
      <c r="L15" s="199" t="n"/>
      <c r="M15" s="199" t="n"/>
      <c r="N15" s="199" t="n"/>
      <c r="O15" s="199" t="n"/>
      <c r="P15" s="232" t="n"/>
      <c r="Q15" s="76" t="n"/>
      <c r="R15" s="76" t="n"/>
      <c r="S15" s="76" t="n"/>
    </row>
    <row r="16">
      <c r="B16" s="80" t="inlineStr">
        <is>
          <t>Consideraciones</t>
        </is>
      </c>
      <c r="H16" s="231" t="n"/>
      <c r="I16" s="199" t="n"/>
      <c r="J16" s="199" t="n"/>
      <c r="K16" s="199" t="n"/>
      <c r="L16" s="199" t="n"/>
      <c r="M16" s="199" t="n"/>
      <c r="N16" s="199" t="n"/>
      <c r="O16" s="199" t="n"/>
      <c r="P16" s="232" t="n"/>
      <c r="Q16" s="76" t="n"/>
      <c r="R16" s="76" t="n"/>
      <c r="S16" s="76" t="n"/>
    </row>
    <row r="17">
      <c r="B17" s="88" t="inlineStr">
        <is>
          <t>Complete sólo las celdas destacadas en color</t>
        </is>
      </c>
      <c r="H17" s="231" t="n"/>
      <c r="I17" s="199" t="n"/>
      <c r="J17" s="199" t="n"/>
      <c r="K17" s="199" t="n"/>
      <c r="L17" s="199" t="n"/>
      <c r="M17" s="199" t="n"/>
      <c r="N17" s="199" t="n"/>
      <c r="O17" s="199" t="n"/>
      <c r="P17" s="232" t="n"/>
      <c r="Q17" s="76" t="n"/>
      <c r="R17" s="76" t="n"/>
      <c r="S17" s="76" t="n"/>
    </row>
    <row r="18">
      <c r="B18" s="71" t="inlineStr">
        <is>
          <t>Entiéndase por "Equipamiento menor" a aquellos bienes durables necesarios para la ejecución del proyecto.</t>
        </is>
      </c>
      <c r="H18" s="231" t="n"/>
      <c r="I18" s="199" t="n"/>
      <c r="J18" s="199" t="n"/>
      <c r="K18" s="199" t="n"/>
      <c r="L18" s="199" t="n"/>
      <c r="M18" s="199" t="n"/>
      <c r="N18" s="199" t="n"/>
      <c r="O18" s="199" t="n"/>
      <c r="P18" s="232" t="n"/>
      <c r="Q18" s="76" t="n"/>
      <c r="R18" s="76" t="n"/>
      <c r="S18" s="76" t="n"/>
    </row>
    <row r="19">
      <c r="B19" s="71" t="inlineStr">
        <is>
          <t>Clasifíquese en "Otros", lo que no esté considerado en las catagorias anteriores y corresponda a gastos de operación.</t>
        </is>
      </c>
      <c r="H19" s="231" t="n"/>
      <c r="I19" s="199" t="n"/>
      <c r="J19" s="199" t="n"/>
      <c r="K19" s="199" t="n"/>
      <c r="L19" s="199" t="n"/>
      <c r="M19" s="199" t="n"/>
      <c r="N19" s="199" t="n"/>
      <c r="O19" s="199" t="n"/>
      <c r="P19" s="232" t="n"/>
      <c r="Q19" s="76" t="n"/>
      <c r="R19" s="76" t="n"/>
      <c r="S19" s="76" t="n"/>
    </row>
    <row r="20">
      <c r="B20" s="82" t="inlineStr">
        <is>
          <t>Valor máximo de viático internacional diario por persona es de $250.000.-</t>
        </is>
      </c>
      <c r="H20" s="231" t="n"/>
      <c r="I20" s="199" t="n"/>
      <c r="J20" s="199" t="n"/>
      <c r="K20" s="199" t="n"/>
      <c r="L20" s="199" t="n"/>
      <c r="M20" s="199" t="n"/>
      <c r="N20" s="199" t="n"/>
      <c r="O20" s="199" t="n"/>
      <c r="P20" s="232" t="n"/>
      <c r="Q20" s="76" t="n"/>
      <c r="R20" s="76" t="n"/>
      <c r="S20" s="76" t="n"/>
    </row>
    <row r="21" ht="15.75" customHeight="1" thickBot="1">
      <c r="H21" s="231" t="n"/>
      <c r="I21" s="199" t="n"/>
      <c r="J21" s="199" t="n"/>
      <c r="K21" s="199" t="n"/>
      <c r="L21" s="199" t="n"/>
      <c r="M21" s="199" t="n"/>
      <c r="N21" s="199" t="n"/>
      <c r="O21" s="199" t="n"/>
      <c r="P21" s="232" t="n"/>
      <c r="Q21" s="76" t="n"/>
      <c r="R21" s="76" t="n"/>
      <c r="S21" s="76" t="n"/>
    </row>
    <row r="22" ht="15.75" customHeight="1" thickBot="1">
      <c r="B22" s="81" t="inlineStr">
        <is>
          <t>Sub Item</t>
        </is>
      </c>
      <c r="C22" s="81" t="inlineStr">
        <is>
          <t>Monto solicitado</t>
        </is>
      </c>
      <c r="D22" s="81" t="inlineStr">
        <is>
          <t>Justificación y detalle</t>
        </is>
      </c>
      <c r="H22" s="231" t="n"/>
      <c r="I22" s="199" t="n"/>
      <c r="J22" s="199" t="n"/>
      <c r="K22" s="199" t="n"/>
      <c r="L22" s="199" t="n"/>
      <c r="M22" s="199" t="n"/>
      <c r="N22" s="199" t="n"/>
      <c r="O22" s="199" t="n"/>
      <c r="P22" s="232" t="n"/>
    </row>
    <row r="23" ht="15.75" customHeight="1" thickBot="1">
      <c r="B23" s="234" t="inlineStr">
        <is>
          <t>Pasajes</t>
        </is>
      </c>
      <c r="C23" s="234" t="n">
        <v>3000000</v>
      </c>
      <c r="D23" s="235" t="inlineStr">
        <is>
          <t>Actividad 5. Pasantía en Coimbra (ISEC-IPC, Portugal): 2 integrantes del grupo chileno (1 USACH, 1 UCM). 2 pasajes aéreos económicos Santiago–Coimbra (vía Lisboa/Porto), ida y vuelta, punto a punto, 2 × $1.500.000. ESTIMACIÓN: cotizar antes de enviar.</t>
        </is>
      </c>
      <c r="H23" s="231" t="n"/>
      <c r="I23" s="199" t="n"/>
      <c r="J23" s="199" t="n"/>
      <c r="K23" s="199" t="n"/>
      <c r="L23" s="199" t="n"/>
      <c r="M23" s="199" t="n"/>
      <c r="N23" s="199" t="n"/>
      <c r="O23" s="199" t="n"/>
      <c r="P23" s="232" t="n"/>
    </row>
    <row r="24" ht="15.75" customHeight="1" thickBot="1">
      <c r="B24" s="234" t="inlineStr">
        <is>
          <t>Pasajes</t>
        </is>
      </c>
      <c r="C24" s="234" t="n">
        <v>5000000</v>
      </c>
      <c r="D24" s="236" t="inlineStr">
        <is>
          <t>Actividad 6. Pasantía en Luanda (UJPA, Angola): 2 integrantes del grupo chileno (USACH y UCM). 2 pasajes aéreos económicos Santiago–Luanda, ida y vuelta, 2 × $2.500.000. ESTIMACIÓN: cotizar antes de enviar.</t>
        </is>
      </c>
      <c r="H24" s="231" t="n"/>
      <c r="I24" s="199" t="n"/>
      <c r="J24" s="199" t="n"/>
      <c r="K24" s="199" t="n"/>
      <c r="L24" s="199" t="n"/>
      <c r="M24" s="199" t="n"/>
      <c r="N24" s="199" t="n"/>
      <c r="O24" s="199" t="n"/>
      <c r="P24" s="232" t="n"/>
    </row>
    <row r="25" ht="15.75" customHeight="1" thickBot="1">
      <c r="B25" s="234" t="inlineStr">
        <is>
          <t>Seguro de viaje</t>
        </is>
      </c>
      <c r="C25" s="234" t="n">
        <v>120000</v>
      </c>
      <c r="D25" s="236" t="inlineStr">
        <is>
          <t>Actividad 5. Seguro de viaje, pasantía Coimbra: 2 personas × $60.000. ESTIMACIÓN.</t>
        </is>
      </c>
      <c r="H25" s="231" t="n"/>
      <c r="I25" s="199" t="n"/>
      <c r="J25" s="199" t="n"/>
      <c r="K25" s="199" t="n"/>
      <c r="L25" s="199" t="n"/>
      <c r="M25" s="199" t="n"/>
      <c r="N25" s="199" t="n"/>
      <c r="O25" s="199" t="n"/>
      <c r="P25" s="232" t="n"/>
    </row>
    <row r="26" ht="15.75" customHeight="1" thickBot="1">
      <c r="B26" s="234" t="inlineStr">
        <is>
          <t>Seguro de viaje</t>
        </is>
      </c>
      <c r="C26" s="234" t="n">
        <v>120000</v>
      </c>
      <c r="D26" s="236" t="inlineStr">
        <is>
          <t>Actividad 6. Seguro de viaje, pasantía Luanda: 2 personas × $60.000. ESTIMACIÓN.</t>
        </is>
      </c>
      <c r="H26" s="231" t="n"/>
      <c r="I26" s="199" t="n"/>
      <c r="J26" s="199" t="n"/>
      <c r="K26" s="199" t="n"/>
      <c r="L26" s="199" t="n"/>
      <c r="M26" s="199" t="n"/>
      <c r="N26" s="199" t="n"/>
      <c r="O26" s="199" t="n"/>
      <c r="P26" s="232" t="n"/>
    </row>
    <row r="27" ht="15.75" customHeight="1" thickBot="1">
      <c r="B27" s="234" t="inlineStr">
        <is>
          <t>Viático</t>
        </is>
      </c>
      <c r="C27" s="234" t="n">
        <v>2520000</v>
      </c>
      <c r="D27" s="236" t="inlineStr">
        <is>
          <t>Actividad 5. Pasantía Coimbra: 2 personas × 7 días × $180.000 por día (tope de viático internacional: $250.000 por persona y día).</t>
        </is>
      </c>
      <c r="H27" s="231" t="n"/>
      <c r="I27" s="199" t="n"/>
      <c r="J27" s="199" t="n"/>
      <c r="K27" s="199" t="n"/>
      <c r="L27" s="199" t="n"/>
      <c r="M27" s="199" t="n"/>
      <c r="N27" s="199" t="n"/>
      <c r="O27" s="199" t="n"/>
      <c r="P27" s="232" t="n"/>
    </row>
    <row r="28" ht="15.75" customHeight="1" thickBot="1">
      <c r="B28" s="234" t="inlineStr">
        <is>
          <t>Viático</t>
        </is>
      </c>
      <c r="C28" s="234" t="n">
        <v>3200000</v>
      </c>
      <c r="D28" s="236" t="inlineStr">
        <is>
          <t>Actividad 6. Pasantía Luanda: 2 personas × 8 días × $200.000 por día (tope: $250.000 por persona y día).</t>
        </is>
      </c>
      <c r="H28" s="231" t="n"/>
      <c r="I28" s="199" t="n"/>
      <c r="J28" s="199" t="n"/>
      <c r="K28" s="199" t="n"/>
      <c r="L28" s="199" t="n"/>
      <c r="M28" s="199" t="n"/>
      <c r="N28" s="199" t="n"/>
      <c r="O28" s="199" t="n"/>
      <c r="P28" s="232" t="n"/>
    </row>
    <row r="29" ht="15.75" customHeight="1" thickBot="1">
      <c r="B29" s="234" t="inlineStr">
        <is>
          <t>Otros</t>
        </is>
      </c>
      <c r="C29" s="234" t="n">
        <v>800000</v>
      </c>
      <c r="D29" s="236" t="inlineStr">
        <is>
          <t>Actividad 4. Software SIG, datos y licencias para el protocolo común y el análisis geoespacial del estudio comparado (Santiago, regiones asociadas, Luanda, centro de Portugal). ESTIMACIÓN.</t>
        </is>
      </c>
      <c r="H29" s="231" t="n"/>
      <c r="I29" s="199" t="n"/>
      <c r="J29" s="199" t="n"/>
      <c r="K29" s="199" t="n"/>
      <c r="L29" s="199" t="n"/>
      <c r="M29" s="199" t="n"/>
      <c r="N29" s="199" t="n"/>
      <c r="O29" s="199" t="n"/>
      <c r="P29" s="232" t="n"/>
    </row>
    <row r="30" ht="15.75" customHeight="1" thickBot="1">
      <c r="B30" s="234" t="n"/>
      <c r="C30" s="234" t="n">
        <v>0</v>
      </c>
      <c r="D30" s="237" t="n"/>
      <c r="H30" s="238" t="n"/>
      <c r="I30" s="239" t="n"/>
      <c r="J30" s="239" t="n"/>
      <c r="K30" s="239" t="n"/>
      <c r="L30" s="239" t="n"/>
      <c r="M30" s="239" t="n"/>
      <c r="N30" s="239" t="n"/>
      <c r="O30" s="239" t="n"/>
      <c r="P30" s="240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.75" customHeight="1" thickBot="1">
      <c r="B79" s="234" t="n"/>
      <c r="C79" s="234" t="n">
        <v>0</v>
      </c>
      <c r="D79" s="237" t="n"/>
    </row>
    <row r="80" ht="15.75" customHeight="1" thickBot="1">
      <c r="B80" s="234" t="n"/>
      <c r="C80" s="234" t="n">
        <v>0</v>
      </c>
      <c r="D80" s="237" t="n"/>
    </row>
    <row r="81" ht="15.75" customHeight="1" thickBot="1">
      <c r="B81" s="234" t="n"/>
      <c r="C81" s="234" t="n">
        <v>0</v>
      </c>
      <c r="D81" s="237" t="n"/>
    </row>
    <row r="82" ht="15" customHeight="1" thickBot="1">
      <c r="B82" s="241" t="n"/>
      <c r="C82" s="241" t="n">
        <v>0</v>
      </c>
      <c r="D82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9I96DxPBT2HlgmDkJuGqqQ==" formatRows="1" sort="1" spinCount="100000" hashValue="6HZY8cxn6hnkLhjHbxcr7+LUb4vTWLhcVwN0mppdOASgl163wQTKJtBogdZLNPyn7ypu8+E21FSB4+gEg3bh9A=="/>
  <mergeCells count="3">
    <mergeCell ref="B13:B14"/>
    <mergeCell ref="B7:B12"/>
    <mergeCell ref="H7:P30"/>
  </mergeCells>
  <dataValidations count="1">
    <dataValidation sqref="B23:B82" showDropDown="0" showInputMessage="1" showErrorMessage="1" allowBlank="1" type="list">
      <formula1>$S$7:$S$14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84"/>
  <sheetViews>
    <sheetView workbookViewId="0">
      <selection activeCell="F6" sqref="F6:Q19"/>
    </sheetView>
  </sheetViews>
  <sheetFormatPr baseColWidth="10" defaultRowHeight="15"/>
  <cols>
    <col width="29.42578125" customWidth="1" min="2" max="2"/>
    <col width="20.7109375" customWidth="1" min="3" max="3"/>
    <col width="51.140625" customWidth="1" min="4" max="4"/>
    <col width="12.5703125" customWidth="1" min="5" max="5"/>
    <col width="10" customWidth="1" min="17" max="17"/>
  </cols>
  <sheetData>
    <row r="2">
      <c r="B2" s="49" t="inlineStr">
        <is>
          <t>FINANCIAMIENTO SOLICITADO A ANID</t>
        </is>
      </c>
    </row>
    <row r="4">
      <c r="B4" s="80" t="inlineStr">
        <is>
          <t>MODALIDAD B: Atracción de investigadores/as o académicos/as de Instituciones Extranjeras.</t>
        </is>
      </c>
      <c r="F4" s="1" t="inlineStr">
        <is>
          <t>JUSTIFICACIÓN DEL FINANCIAMIENTO SOLICITADO A ANID</t>
        </is>
      </c>
    </row>
    <row r="5" ht="15.75" customHeight="1" thickBot="1"/>
    <row r="6" ht="15.75" customHeight="1" thickBot="1">
      <c r="B6" s="42" t="inlineStr">
        <is>
          <t xml:space="preserve"> Item</t>
        </is>
      </c>
      <c r="C6" s="42" t="inlineStr">
        <is>
          <t>Sub Item</t>
        </is>
      </c>
      <c r="D6" s="42" t="inlineStr">
        <is>
          <t>Monto total solicitado a ANID ($)</t>
        </is>
      </c>
      <c r="F6" s="243" t="n"/>
      <c r="G6" s="229" t="n"/>
      <c r="H6" s="229" t="n"/>
      <c r="I6" s="229" t="n"/>
      <c r="J6" s="229" t="n"/>
      <c r="K6" s="229" t="n"/>
      <c r="L6" s="229" t="n"/>
      <c r="M6" s="229" t="n"/>
      <c r="N6" s="229" t="n"/>
      <c r="O6" s="229" t="n"/>
      <c r="P6" s="229" t="n"/>
      <c r="Q6" s="230" t="n"/>
    </row>
    <row r="7" ht="15.75" customHeight="1" thickBot="1">
      <c r="B7" s="125" t="inlineStr">
        <is>
          <t xml:space="preserve">Gastos en personal </t>
        </is>
      </c>
      <c r="C7" s="60" t="inlineStr">
        <is>
          <t>Honorarios</t>
        </is>
      </c>
      <c r="D7" s="227">
        <f>SUMIF($B$25:$B$84,C7,$C$25:$C$84)</f>
        <v/>
      </c>
      <c r="F7" s="231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232" t="n"/>
      <c r="S7" s="94" t="inlineStr">
        <is>
          <t>Honorarios</t>
        </is>
      </c>
    </row>
    <row r="8">
      <c r="B8" s="207" t="inlineStr">
        <is>
          <t>Gastos de operación</t>
        </is>
      </c>
      <c r="C8" s="61" t="inlineStr">
        <is>
          <t>Pasajes</t>
        </is>
      </c>
      <c r="D8" s="209">
        <f>SUMIF($B$25:$B$84,C8,$C$25:$C$84)</f>
        <v/>
      </c>
      <c r="F8" s="231" t="n"/>
      <c r="G8" s="199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232" t="n"/>
      <c r="S8" s="94" t="inlineStr">
        <is>
          <t>Pasajes</t>
        </is>
      </c>
    </row>
    <row r="9">
      <c r="B9" s="210" t="n"/>
      <c r="C9" s="61" t="inlineStr">
        <is>
          <t>Viático</t>
        </is>
      </c>
      <c r="D9" s="209">
        <f>SUMIF($B$25:$B$84,C9,$C$25:$C$84)</f>
        <v/>
      </c>
      <c r="F9" s="231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232" t="n"/>
      <c r="S9" s="94" t="inlineStr">
        <is>
          <t>Viático</t>
        </is>
      </c>
    </row>
    <row r="10">
      <c r="B10" s="210" t="n"/>
      <c r="C10" s="61" t="inlineStr">
        <is>
          <t>Seguro de viaje</t>
        </is>
      </c>
      <c r="D10" s="209">
        <f>SUMIF($B$25:$B$84,C10,$C$25:$C$84)</f>
        <v/>
      </c>
      <c r="F10" s="231" t="n"/>
      <c r="G10" s="199" t="n"/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232" t="n"/>
      <c r="S10" s="94" t="inlineStr">
        <is>
          <t>Seguro de viaje</t>
        </is>
      </c>
    </row>
    <row r="11">
      <c r="B11" s="210" t="n"/>
      <c r="C11" s="61" t="inlineStr">
        <is>
          <t>Otros</t>
        </is>
      </c>
      <c r="D11" s="209">
        <f>SUMIF($B$25:$B$84,C11,$C$25:$C$84)</f>
        <v/>
      </c>
      <c r="F11" s="231" t="n"/>
      <c r="G11" s="199" t="n"/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232" t="n"/>
      <c r="S11" s="94" t="inlineStr">
        <is>
          <t>Otros</t>
        </is>
      </c>
    </row>
    <row r="12" ht="15.75" customHeight="1" thickBot="1">
      <c r="B12" s="211" t="n"/>
      <c r="C12" s="61" t="inlineStr">
        <is>
          <t>Publicaciones</t>
        </is>
      </c>
      <c r="D12" s="209">
        <f>SUMIF($B$25:$B$84,C12,$C$25:$C$84)</f>
        <v/>
      </c>
      <c r="F12" s="231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232" t="n"/>
      <c r="S12" s="94" t="inlineStr">
        <is>
          <t>Publicaciones</t>
        </is>
      </c>
    </row>
    <row r="13" ht="15.75" customHeight="1" thickBot="1">
      <c r="B13" s="72" t="inlineStr">
        <is>
          <t>Equipamiento</t>
        </is>
      </c>
      <c r="C13" s="62" t="inlineStr">
        <is>
          <t>Equipamiento menor</t>
        </is>
      </c>
      <c r="D13" s="233">
        <f>SUMIF($B$25:$B$84,C13,$C$25:$C$84)</f>
        <v/>
      </c>
      <c r="F13" s="231" t="n"/>
      <c r="G13" s="199" t="n"/>
      <c r="H13" s="199" t="n"/>
      <c r="I13" s="199" t="n"/>
      <c r="J13" s="199" t="n"/>
      <c r="K13" s="199" t="n"/>
      <c r="L13" s="199" t="n"/>
      <c r="M13" s="199" t="n"/>
      <c r="N13" s="199" t="n"/>
      <c r="O13" s="199" t="n"/>
      <c r="P13" s="199" t="n"/>
      <c r="Q13" s="232" t="n"/>
      <c r="S13" s="95" t="inlineStr">
        <is>
          <t>Equipamiento menor</t>
        </is>
      </c>
    </row>
    <row r="14">
      <c r="F14" s="231" t="n"/>
      <c r="G14" s="199" t="n"/>
      <c r="H14" s="199" t="n"/>
      <c r="I14" s="199" t="n"/>
      <c r="J14" s="199" t="n"/>
      <c r="K14" s="199" t="n"/>
      <c r="L14" s="199" t="n"/>
      <c r="M14" s="199" t="n"/>
      <c r="N14" s="199" t="n"/>
      <c r="O14" s="199" t="n"/>
      <c r="P14" s="199" t="n"/>
      <c r="Q14" s="232" t="n"/>
    </row>
    <row r="15">
      <c r="B15" s="49" t="inlineStr">
        <is>
          <t>Consideraciones</t>
        </is>
      </c>
      <c r="F15" s="231" t="n"/>
      <c r="G15" s="199" t="n"/>
      <c r="H15" s="199" t="n"/>
      <c r="I15" s="199" t="n"/>
      <c r="J15" s="199" t="n"/>
      <c r="K15" s="199" t="n"/>
      <c r="L15" s="199" t="n"/>
      <c r="M15" s="199" t="n"/>
      <c r="N15" s="199" t="n"/>
      <c r="O15" s="199" t="n"/>
      <c r="P15" s="199" t="n"/>
      <c r="Q15" s="232" t="n"/>
    </row>
    <row r="16">
      <c r="B16" s="88" t="inlineStr">
        <is>
          <t>Complete sólo las celdas destacadas en color</t>
        </is>
      </c>
      <c r="F16" s="231" t="n"/>
      <c r="G16" s="199" t="n"/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232" t="n"/>
    </row>
    <row r="17">
      <c r="B17" s="82" t="inlineStr">
        <is>
          <t>Valor máximo por hora de docencia y/o investigación conjunta:  a distancia $30.000 bruto /  presencial $35.000 bruto .</t>
        </is>
      </c>
      <c r="F17" s="231" t="n"/>
      <c r="G17" s="199" t="n"/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232" t="n"/>
    </row>
    <row r="18">
      <c r="B18" s="71" t="inlineStr">
        <is>
          <t xml:space="preserve">La cantidad minima de horas curso / taller /cátedra/investigación conjunta para el/la investigador/a extranjero es de 20 hrs. </t>
        </is>
      </c>
      <c r="F18" s="231" t="n"/>
      <c r="G18" s="199" t="n"/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232" t="n"/>
    </row>
    <row r="19" ht="15.75" customHeight="1" thickBot="1">
      <c r="B19" s="71" t="inlineStr">
        <is>
          <t>Sólo es posible otrogar viáticos y pasajes a investigadores/as que vengan de forma presencial.</t>
        </is>
      </c>
      <c r="F19" s="238" t="n"/>
      <c r="G19" s="239" t="n"/>
      <c r="H19" s="239" t="n"/>
      <c r="I19" s="239" t="n"/>
      <c r="J19" s="239" t="n"/>
      <c r="K19" s="239" t="n"/>
      <c r="L19" s="239" t="n"/>
      <c r="M19" s="239" t="n"/>
      <c r="N19" s="239" t="n"/>
      <c r="O19" s="239" t="n"/>
      <c r="P19" s="239" t="n"/>
      <c r="Q19" s="240" t="n"/>
    </row>
    <row r="20">
      <c r="B20" s="71" t="inlineStr">
        <is>
          <t>Valores máximos de viáticos: $150.000 nacional y $250.000 internacional</t>
        </is>
      </c>
      <c r="F20" s="167" t="n"/>
      <c r="G20" s="167" t="n"/>
      <c r="H20" s="167" t="n"/>
      <c r="I20" s="167" t="n"/>
      <c r="J20" s="167" t="n"/>
      <c r="K20" s="167" t="n"/>
      <c r="L20" s="167" t="n"/>
      <c r="M20" s="167" t="n"/>
      <c r="N20" s="167" t="n"/>
      <c r="O20" s="167" t="n"/>
      <c r="P20" s="167" t="n"/>
      <c r="Q20" s="167" t="n"/>
    </row>
    <row r="21">
      <c r="B21" s="71" t="inlineStr">
        <is>
          <t>Entiéndase por "Equipamiento menor" a aquellos bienes durables necesarios para la ejecución del proyecto.</t>
        </is>
      </c>
    </row>
    <row r="22">
      <c r="B22" s="71" t="inlineStr">
        <is>
          <t>Clasifíquese en "Otros", lo que no esté considerado en las catagorias anteriores y corresponda a gastos de operación.</t>
        </is>
      </c>
    </row>
    <row r="23" ht="15.75" customHeight="1" thickBot="1"/>
    <row r="24" ht="15.75" customHeight="1" thickBot="1">
      <c r="B24" s="42" t="inlineStr">
        <is>
          <t>Sub Item</t>
        </is>
      </c>
      <c r="C24" s="42" t="inlineStr">
        <is>
          <t>Monto solicitado</t>
        </is>
      </c>
      <c r="D24" s="42" t="inlineStr">
        <is>
          <t>Justificación y detalle</t>
        </is>
      </c>
    </row>
    <row r="25" ht="15.75" customHeight="1" thickBot="1">
      <c r="B25" s="234" t="n"/>
      <c r="C25" s="234" t="n">
        <v>0</v>
      </c>
      <c r="D25" s="244" t="n"/>
    </row>
    <row r="26" ht="15.75" customHeight="1" thickBot="1">
      <c r="B26" s="234" t="n"/>
      <c r="C26" s="234" t="n">
        <v>0</v>
      </c>
      <c r="D26" s="237" t="n"/>
    </row>
    <row r="27" ht="15.75" customHeight="1" thickBot="1">
      <c r="B27" s="234" t="n"/>
      <c r="C27" s="234" t="n">
        <v>0</v>
      </c>
      <c r="D27" s="237" t="n"/>
    </row>
    <row r="28" ht="15.75" customHeight="1" thickBot="1">
      <c r="B28" s="234" t="n"/>
      <c r="C28" s="234" t="n">
        <v>0</v>
      </c>
      <c r="D28" s="237" t="n"/>
    </row>
    <row r="29" ht="15.75" customHeight="1" thickBot="1">
      <c r="B29" s="234" t="n"/>
      <c r="C29" s="234" t="n">
        <v>0</v>
      </c>
      <c r="D29" s="237" t="n"/>
    </row>
    <row r="30" ht="15.75" customHeight="1" thickBot="1">
      <c r="B30" s="234" t="n"/>
      <c r="C30" s="234" t="n">
        <v>0</v>
      </c>
      <c r="D30" s="237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.75" customHeight="1" thickBot="1">
      <c r="B79" s="234" t="n"/>
      <c r="C79" s="234" t="n">
        <v>0</v>
      </c>
      <c r="D79" s="237" t="n"/>
    </row>
    <row r="80" ht="15.75" customHeight="1" thickBot="1">
      <c r="B80" s="234" t="n"/>
      <c r="C80" s="234" t="n">
        <v>0</v>
      </c>
      <c r="D80" s="237" t="n"/>
    </row>
    <row r="81" ht="15.75" customHeight="1" thickBot="1">
      <c r="B81" s="234" t="n"/>
      <c r="C81" s="234" t="n">
        <v>0</v>
      </c>
      <c r="D81" s="237" t="n"/>
    </row>
    <row r="82" ht="15.75" customHeight="1" thickBot="1">
      <c r="B82" s="234" t="n"/>
      <c r="C82" s="234" t="n">
        <v>0</v>
      </c>
      <c r="D82" s="237" t="n"/>
    </row>
    <row r="83" ht="15.75" customHeight="1" thickBot="1">
      <c r="B83" s="234" t="n"/>
      <c r="C83" s="234" t="n">
        <v>0</v>
      </c>
      <c r="D83" s="237" t="n"/>
    </row>
    <row r="84" ht="15" customHeight="1" thickBot="1">
      <c r="B84" s="241" t="n"/>
      <c r="C84" s="241" t="n">
        <v>0</v>
      </c>
      <c r="D84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TM4BvLMtHmFVcx/sJTHx+g==" formatRows="1" sort="1" spinCount="100000" hashValue="GvntLAwKVQv8jAtIRZT6ROudDgc7ItdsiskeHpHdXGQIQwfe/DQFFX5LbM0vDozgInuNJA7QzN1hWNfFmhtK9A=="/>
  <mergeCells count="2">
    <mergeCell ref="F6:Q19"/>
    <mergeCell ref="B8:B12"/>
  </mergeCells>
  <dataValidations count="1">
    <dataValidation sqref="B25:B84" showDropDown="0" showInputMessage="1" showErrorMessage="1" allowBlank="1" type="list">
      <formula1>$S$7:$S$13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9"/>
  <sheetViews>
    <sheetView workbookViewId="0">
      <selection activeCell="B20" sqref="B20"/>
    </sheetView>
  </sheetViews>
  <sheetFormatPr baseColWidth="10" defaultRowHeight="15"/>
  <cols>
    <col width="29.42578125" customWidth="1" min="2" max="2"/>
    <col width="20.7109375" customWidth="1" min="3" max="3"/>
    <col width="40.5703125" customWidth="1" min="4" max="4"/>
    <col width="21.140625" customWidth="1" min="5" max="5"/>
  </cols>
  <sheetData>
    <row r="2">
      <c r="B2" s="49" t="inlineStr">
        <is>
          <t>FINANCIAMIENTO SOLICITADO A ANID</t>
        </is>
      </c>
    </row>
    <row r="4">
      <c r="B4" s="80" t="inlineStr">
        <is>
          <t>MODALIDAD C: Realización de talleres o seminarios bilaterales y/o multilaterales. Asistencia a conferencias o seminarios.</t>
        </is>
      </c>
      <c r="F4" s="1" t="inlineStr">
        <is>
          <t>JUSTIFICACIÓN DEL FINANCIAMIENTO SOLICITADO A ANID</t>
        </is>
      </c>
    </row>
    <row r="5" ht="15.75" customHeight="1" thickBot="1"/>
    <row r="6" ht="15.75" customHeight="1" thickBot="1">
      <c r="B6" s="42" t="inlineStr">
        <is>
          <t xml:space="preserve"> Item</t>
        </is>
      </c>
      <c r="C6" s="79" t="inlineStr">
        <is>
          <t>Sub Item</t>
        </is>
      </c>
      <c r="D6" s="42" t="inlineStr">
        <is>
          <t>Monto total solicitado a ANID ($)</t>
        </is>
      </c>
      <c r="F6" s="245" t="n"/>
      <c r="G6" s="229" t="n"/>
      <c r="H6" s="229" t="n"/>
      <c r="I6" s="229" t="n"/>
      <c r="J6" s="229" t="n"/>
      <c r="K6" s="229" t="n"/>
      <c r="L6" s="229" t="n"/>
      <c r="M6" s="229" t="n"/>
      <c r="N6" s="229" t="n"/>
      <c r="O6" s="230" t="n"/>
    </row>
    <row r="7">
      <c r="B7" s="218" t="inlineStr">
        <is>
          <t>Gastos de operación</t>
        </is>
      </c>
      <c r="C7" s="73" t="inlineStr">
        <is>
          <t>Difusión</t>
        </is>
      </c>
      <c r="D7" s="246">
        <f>SUMIF($B$20:$B$79,C7,$C$20:$C$79)</f>
        <v/>
      </c>
      <c r="F7" s="231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232" t="n"/>
      <c r="S7" s="96" t="inlineStr">
        <is>
          <t>Difusión</t>
        </is>
      </c>
    </row>
    <row r="8">
      <c r="B8" s="217" t="n"/>
      <c r="C8" s="74" t="inlineStr">
        <is>
          <t>Pasajes</t>
        </is>
      </c>
      <c r="D8" s="208">
        <f>SUMIF($B$20:$B$79,C8,$C$20:$C$79)</f>
        <v/>
      </c>
      <c r="F8" s="231" t="n"/>
      <c r="G8" s="199" t="n"/>
      <c r="H8" s="199" t="n"/>
      <c r="I8" s="199" t="n"/>
      <c r="J8" s="199" t="n"/>
      <c r="K8" s="199" t="n"/>
      <c r="L8" s="199" t="n"/>
      <c r="M8" s="199" t="n"/>
      <c r="N8" s="199" t="n"/>
      <c r="O8" s="232" t="n"/>
      <c r="S8" s="96" t="inlineStr">
        <is>
          <t>Pasajes</t>
        </is>
      </c>
    </row>
    <row r="9">
      <c r="B9" s="217" t="n"/>
      <c r="C9" s="74" t="inlineStr">
        <is>
          <t>Viático</t>
        </is>
      </c>
      <c r="D9" s="208">
        <f>SUMIF($B$20:$B$79,C9,$C$20:$C$79)</f>
        <v/>
      </c>
      <c r="F9" s="231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232" t="n"/>
      <c r="S9" s="96" t="inlineStr">
        <is>
          <t>Viático</t>
        </is>
      </c>
    </row>
    <row r="10">
      <c r="B10" s="217" t="n"/>
      <c r="C10" s="74" t="inlineStr">
        <is>
          <t>Seguro de viaje</t>
        </is>
      </c>
      <c r="D10" s="208">
        <f>SUMIF($B$20:$B$79,C10,$C$20:$C$79)</f>
        <v/>
      </c>
      <c r="F10" s="231" t="n"/>
      <c r="G10" s="199" t="n"/>
      <c r="H10" s="199" t="n"/>
      <c r="I10" s="199" t="n"/>
      <c r="J10" s="199" t="n"/>
      <c r="K10" s="199" t="n"/>
      <c r="L10" s="199" t="n"/>
      <c r="M10" s="199" t="n"/>
      <c r="N10" s="199" t="n"/>
      <c r="O10" s="232" t="n"/>
      <c r="S10" s="96" t="inlineStr">
        <is>
          <t>Seguro de viaje</t>
        </is>
      </c>
    </row>
    <row r="11">
      <c r="B11" s="217" t="n"/>
      <c r="C11" s="75" t="inlineStr">
        <is>
          <t>Seminarios / Congresos</t>
        </is>
      </c>
      <c r="D11" s="208">
        <f>SUMIF($B$20:$B$79,C11,$C$20:$C$79)</f>
        <v/>
      </c>
      <c r="F11" s="231" t="n"/>
      <c r="G11" s="199" t="n"/>
      <c r="H11" s="199" t="n"/>
      <c r="I11" s="199" t="n"/>
      <c r="J11" s="199" t="n"/>
      <c r="K11" s="199" t="n"/>
      <c r="L11" s="199" t="n"/>
      <c r="M11" s="199" t="n"/>
      <c r="N11" s="199" t="n"/>
      <c r="O11" s="232" t="n"/>
      <c r="S11" s="96" t="inlineStr">
        <is>
          <t>Seminarios / Congresos</t>
        </is>
      </c>
    </row>
    <row r="12">
      <c r="B12" s="217" t="n"/>
      <c r="C12" s="75" t="inlineStr">
        <is>
          <t>Publicaciones</t>
        </is>
      </c>
      <c r="D12" s="208">
        <f>SUMIF($B$20:$B$79,C12,$C$20:$C$79)</f>
        <v/>
      </c>
      <c r="F12" s="231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232" t="n"/>
      <c r="S12" s="96" t="inlineStr">
        <is>
          <t>Publicaciones</t>
        </is>
      </c>
    </row>
    <row r="13" ht="15.75" customHeight="1" thickBot="1">
      <c r="B13" s="219" t="n"/>
      <c r="C13" s="62" t="inlineStr">
        <is>
          <t>Otros</t>
        </is>
      </c>
      <c r="D13" s="247">
        <f>SUMIF($B$20:$B$79,C13,$C$20:$C$79)</f>
        <v/>
      </c>
      <c r="F13" s="231" t="n"/>
      <c r="G13" s="199" t="n"/>
      <c r="H13" s="199" t="n"/>
      <c r="I13" s="199" t="n"/>
      <c r="J13" s="199" t="n"/>
      <c r="K13" s="199" t="n"/>
      <c r="L13" s="199" t="n"/>
      <c r="M13" s="199" t="n"/>
      <c r="N13" s="199" t="n"/>
      <c r="O13" s="232" t="n"/>
      <c r="S13" s="96" t="inlineStr">
        <is>
          <t>Otros</t>
        </is>
      </c>
    </row>
    <row r="14" ht="15.75" customHeight="1" thickBot="1">
      <c r="F14" s="238" t="n"/>
      <c r="G14" s="239" t="n"/>
      <c r="H14" s="239" t="n"/>
      <c r="I14" s="239" t="n"/>
      <c r="J14" s="239" t="n"/>
      <c r="K14" s="239" t="n"/>
      <c r="L14" s="239" t="n"/>
      <c r="M14" s="239" t="n"/>
      <c r="N14" s="239" t="n"/>
      <c r="O14" s="240" t="n"/>
    </row>
    <row r="15">
      <c r="B15" s="49" t="inlineStr">
        <is>
          <t>Consideraciones</t>
        </is>
      </c>
    </row>
    <row r="16">
      <c r="B16" s="88" t="inlineStr">
        <is>
          <t>Complete sólo las celdas destacadas en color</t>
        </is>
      </c>
    </row>
    <row r="17">
      <c r="B17" s="71" t="inlineStr">
        <is>
          <t>Clasifíquese en "Otros", lo que no esté considerado en las catagorias anteriores y corresponda a gastos de operación</t>
        </is>
      </c>
    </row>
    <row r="18" ht="15.75" customHeight="1" thickBot="1"/>
    <row r="19" ht="15.75" customHeight="1" thickBot="1">
      <c r="B19" s="42" t="inlineStr">
        <is>
          <t>Sub Item</t>
        </is>
      </c>
      <c r="C19" s="42" t="inlineStr">
        <is>
          <t>Monto solicitado</t>
        </is>
      </c>
      <c r="D19" s="42" t="inlineStr">
        <is>
          <t>Justificación y detalle</t>
        </is>
      </c>
    </row>
    <row r="20" ht="15.75" customHeight="1" thickBot="1">
      <c r="B20" s="234" t="inlineStr">
        <is>
          <t>Pasajes</t>
        </is>
      </c>
      <c r="C20" s="234" t="n">
        <v>1500000</v>
      </c>
      <c r="D20" s="235" t="inlineStr">
        <is>
          <t>Actividad 10. Visita a Chile de un/a investigador/a del IPC (Portugal) para ponencias y taller en Santiago y una región asociada: pasaje aéreo económico ida y vuelta. ESTIMACIÓN: cotizar.</t>
        </is>
      </c>
    </row>
    <row r="21" ht="15.75" customHeight="1" thickBot="1">
      <c r="B21" s="234" t="inlineStr">
        <is>
          <t>Pasajes</t>
        </is>
      </c>
      <c r="C21" s="234" t="n">
        <v>2200000</v>
      </c>
      <c r="D21" s="236" t="inlineStr">
        <is>
          <t>Actividad 10. Visita a Chile de un/a investigador/a de la UJPA (Angola): pasaje aéreo económico ida y vuelta. ESTIMACIÓN: cotizar.</t>
        </is>
      </c>
    </row>
    <row r="22" ht="15.75" customHeight="1" thickBot="1">
      <c r="B22" s="234" t="inlineStr">
        <is>
          <t>Viático</t>
        </is>
      </c>
      <c r="C22" s="234" t="n">
        <v>2400000</v>
      </c>
      <c r="D22" s="236" t="inlineStr">
        <is>
          <t>Actividad 10. 2 investigadores/as extranjeros/as × 8 días × $150.000 por día (tope de viático nacional $150.000/día; máximo 10 días). Alojamiento y manutención en Santiago y una región asociada.</t>
        </is>
      </c>
    </row>
    <row r="23" ht="15.75" customHeight="1" thickBot="1">
      <c r="B23" s="234" t="inlineStr">
        <is>
          <t>Seguro de viaje</t>
        </is>
      </c>
      <c r="C23" s="234" t="n">
        <v>120000</v>
      </c>
      <c r="D23" s="236" t="inlineStr">
        <is>
          <t>Actividad 10. Seguro de viaje de los 2 investigadores/as extranjeros/as: 2 × $60.000. ESTIMACIÓN.</t>
        </is>
      </c>
    </row>
    <row r="24" ht="15.75" customHeight="1" thickBot="1">
      <c r="B24" s="234" t="inlineStr">
        <is>
          <t>Otros</t>
        </is>
      </c>
      <c r="C24" s="234" t="n">
        <v>300000</v>
      </c>
      <c r="D24" s="236" t="inlineStr">
        <is>
          <t>Actividad 11. Traslado terrestre a la región asociada (ida y vuelta) para la jornada territorial. ESTIMACIÓN: ajustar según destino (con Biobío probablemente sube).</t>
        </is>
      </c>
    </row>
    <row r="25" ht="15.75" customHeight="1" thickBot="1">
      <c r="B25" s="234" t="inlineStr">
        <is>
          <t>Difusión</t>
        </is>
      </c>
      <c r="C25" s="234" t="n">
        <v>1500000</v>
      </c>
      <c r="D25" s="236" t="inlineStr">
        <is>
          <t>Actividad 8, 9 y 12. Tres seminarios virtuales bilingües español–portugués: plataforma de videoconferencia, transmisión en vivo e interpretación simultánea ES–PT (3 × $500.000). ESTIMACIÓN: cotizar.</t>
        </is>
      </c>
    </row>
    <row r="26" ht="15.75" customHeight="1" thickBot="1">
      <c r="B26" s="234" t="inlineStr">
        <is>
          <t>Seminarios / Congresos</t>
        </is>
      </c>
      <c r="C26" s="234" t="n">
        <v>2000000</v>
      </c>
      <c r="D26" s="236" t="inlineStr">
        <is>
          <t>Actividad 11. Taller presencial en Santiago y jornada territorial en una región asociada con las instituciones nacionales asociadas: arriendo de sala, materiales y difusión. No incluye alimentación ni honorarios de organización.</t>
        </is>
      </c>
    </row>
    <row r="27" ht="15.75" customHeight="1" thickBot="1">
      <c r="B27" s="234" t="inlineStr">
        <is>
          <t>Seminarios / Congresos</t>
        </is>
      </c>
      <c r="C27" s="234" t="n">
        <v>800000</v>
      </c>
      <c r="D27" s="236" t="inlineStr">
        <is>
          <t>Actividad 16. Inscripción de integrantes del grupo chileno a un congreso para presentar resultados del estudio. ESTIMACIÓN.</t>
        </is>
      </c>
    </row>
    <row r="28" ht="15.75" customHeight="1" thickBot="1">
      <c r="B28" s="234" t="inlineStr">
        <is>
          <t>Publicaciones</t>
        </is>
      </c>
      <c r="C28" s="234" t="n">
        <v>1200000</v>
      </c>
      <c r="D28" s="236" t="inlineStr">
        <is>
          <t>Actividad 13. Diseño, traducción ES–PT y difusión del policy brief bilingüe. ESTIMACIÓN.</t>
        </is>
      </c>
    </row>
    <row r="29" ht="15.75" customHeight="1" thickBot="1">
      <c r="B29" s="234" t="inlineStr">
        <is>
          <t>Otros</t>
        </is>
      </c>
      <c r="C29" s="234" t="n">
        <v>1500000</v>
      </c>
      <c r="D29" s="236" t="inlineStr">
        <is>
          <t>Actividad 3. Gastos de administración ligados a la gestión del proyecto. VERIFICAR en numeral 2.5.4 de las bases que sean financiables antes de enviar.</t>
        </is>
      </c>
    </row>
    <row r="30" ht="15.75" customHeight="1" thickBot="1">
      <c r="B30" s="234" t="n"/>
      <c r="C30" s="234" t="n">
        <v>0</v>
      </c>
      <c r="D30" s="237" t="n"/>
    </row>
    <row r="31" ht="15.75" customHeight="1" thickBot="1">
      <c r="B31" s="234" t="n"/>
      <c r="C31" s="234" t="n">
        <v>0</v>
      </c>
      <c r="D31" s="237" t="n"/>
    </row>
    <row r="32" ht="15.75" customHeight="1" thickBot="1">
      <c r="B32" s="234" t="n"/>
      <c r="C32" s="234" t="n">
        <v>0</v>
      </c>
      <c r="D32" s="237" t="n"/>
    </row>
    <row r="33" ht="15.75" customHeight="1" thickBot="1">
      <c r="B33" s="234" t="n"/>
      <c r="C33" s="234" t="n">
        <v>0</v>
      </c>
      <c r="D33" s="237" t="n"/>
    </row>
    <row r="34" ht="15.75" customHeight="1" thickBot="1">
      <c r="B34" s="234" t="n"/>
      <c r="C34" s="234" t="n">
        <v>0</v>
      </c>
      <c r="D34" s="237" t="n"/>
    </row>
    <row r="35" ht="15.75" customHeight="1" thickBot="1">
      <c r="B35" s="234" t="n"/>
      <c r="C35" s="234" t="n">
        <v>0</v>
      </c>
      <c r="D35" s="237" t="n"/>
    </row>
    <row r="36" ht="15.75" customHeight="1" thickBot="1">
      <c r="B36" s="234" t="n"/>
      <c r="C36" s="234" t="n">
        <v>0</v>
      </c>
      <c r="D36" s="237" t="n"/>
    </row>
    <row r="37" ht="15.75" customHeight="1" thickBot="1">
      <c r="B37" s="234" t="n"/>
      <c r="C37" s="234" t="n">
        <v>0</v>
      </c>
      <c r="D37" s="237" t="n"/>
    </row>
    <row r="38" ht="15.75" customHeight="1" thickBot="1">
      <c r="B38" s="234" t="n"/>
      <c r="C38" s="234" t="n">
        <v>0</v>
      </c>
      <c r="D38" s="237" t="n"/>
    </row>
    <row r="39" ht="15.75" customHeight="1" thickBot="1">
      <c r="B39" s="234" t="n"/>
      <c r="C39" s="234" t="n">
        <v>0</v>
      </c>
      <c r="D39" s="237" t="n"/>
    </row>
    <row r="40" ht="15.75" customHeight="1" thickBot="1">
      <c r="B40" s="234" t="n"/>
      <c r="C40" s="234" t="n">
        <v>0</v>
      </c>
      <c r="D40" s="237" t="n"/>
    </row>
    <row r="41" ht="15.75" customHeight="1" thickBot="1">
      <c r="B41" s="234" t="n"/>
      <c r="C41" s="234" t="n">
        <v>0</v>
      </c>
      <c r="D41" s="237" t="n"/>
    </row>
    <row r="42" ht="15.75" customHeight="1" thickBot="1">
      <c r="B42" s="234" t="n"/>
      <c r="C42" s="234" t="n">
        <v>0</v>
      </c>
      <c r="D42" s="237" t="n"/>
    </row>
    <row r="43" ht="15.75" customHeight="1" thickBot="1">
      <c r="B43" s="234" t="n"/>
      <c r="C43" s="234" t="n">
        <v>0</v>
      </c>
      <c r="D43" s="237" t="n"/>
    </row>
    <row r="44" ht="15.75" customHeight="1" thickBot="1">
      <c r="B44" s="234" t="n"/>
      <c r="C44" s="234" t="n">
        <v>0</v>
      </c>
      <c r="D44" s="237" t="n"/>
    </row>
    <row r="45" ht="15.75" customHeight="1" thickBot="1">
      <c r="B45" s="234" t="n"/>
      <c r="C45" s="234" t="n">
        <v>0</v>
      </c>
      <c r="D45" s="237" t="n"/>
    </row>
    <row r="46" ht="15.75" customHeight="1" thickBot="1">
      <c r="B46" s="234" t="n"/>
      <c r="C46" s="234" t="n">
        <v>0</v>
      </c>
      <c r="D46" s="237" t="n"/>
    </row>
    <row r="47" ht="15.75" customHeight="1" thickBot="1">
      <c r="B47" s="234" t="n"/>
      <c r="C47" s="234" t="n">
        <v>0</v>
      </c>
      <c r="D47" s="237" t="n"/>
    </row>
    <row r="48" ht="15.75" customHeight="1" thickBot="1">
      <c r="B48" s="234" t="n"/>
      <c r="C48" s="234" t="n">
        <v>0</v>
      </c>
      <c r="D48" s="237" t="n"/>
    </row>
    <row r="49" ht="15.75" customHeight="1" thickBot="1">
      <c r="B49" s="234" t="n"/>
      <c r="C49" s="234" t="n">
        <v>0</v>
      </c>
      <c r="D49" s="237" t="n"/>
    </row>
    <row r="50" ht="15.75" customHeight="1" thickBot="1">
      <c r="B50" s="234" t="n"/>
      <c r="C50" s="234" t="n">
        <v>0</v>
      </c>
      <c r="D50" s="237" t="n"/>
    </row>
    <row r="51" ht="15.75" customHeight="1" thickBot="1">
      <c r="B51" s="234" t="n"/>
      <c r="C51" s="234" t="n">
        <v>0</v>
      </c>
      <c r="D51" s="237" t="n"/>
    </row>
    <row r="52" ht="15.75" customHeight="1" thickBot="1">
      <c r="B52" s="234" t="n"/>
      <c r="C52" s="234" t="n">
        <v>0</v>
      </c>
      <c r="D52" s="237" t="n"/>
    </row>
    <row r="53" ht="15.75" customHeight="1" thickBot="1">
      <c r="B53" s="234" t="n"/>
      <c r="C53" s="234" t="n">
        <v>0</v>
      </c>
      <c r="D53" s="237" t="n"/>
    </row>
    <row r="54" ht="15.75" customHeight="1" thickBot="1">
      <c r="B54" s="234" t="n"/>
      <c r="C54" s="234" t="n">
        <v>0</v>
      </c>
      <c r="D54" s="237" t="n"/>
    </row>
    <row r="55" ht="15.75" customHeight="1" thickBot="1">
      <c r="B55" s="234" t="n"/>
      <c r="C55" s="234" t="n">
        <v>0</v>
      </c>
      <c r="D55" s="237" t="n"/>
    </row>
    <row r="56" ht="15.75" customHeight="1" thickBot="1">
      <c r="B56" s="234" t="n"/>
      <c r="C56" s="234" t="n">
        <v>0</v>
      </c>
      <c r="D56" s="237" t="n"/>
    </row>
    <row r="57" ht="15.75" customHeight="1" thickBot="1">
      <c r="B57" s="234" t="n"/>
      <c r="C57" s="234" t="n">
        <v>0</v>
      </c>
      <c r="D57" s="237" t="n"/>
    </row>
    <row r="58" ht="15.75" customHeight="1" thickBot="1">
      <c r="B58" s="234" t="n"/>
      <c r="C58" s="234" t="n">
        <v>0</v>
      </c>
      <c r="D58" s="237" t="n"/>
    </row>
    <row r="59" ht="15.75" customHeight="1" thickBot="1">
      <c r="B59" s="234" t="n"/>
      <c r="C59" s="234" t="n">
        <v>0</v>
      </c>
      <c r="D59" s="237" t="n"/>
    </row>
    <row r="60" ht="15.75" customHeight="1" thickBot="1">
      <c r="B60" s="234" t="n"/>
      <c r="C60" s="234" t="n">
        <v>0</v>
      </c>
      <c r="D60" s="237" t="n"/>
    </row>
    <row r="61" ht="15.75" customHeight="1" thickBot="1">
      <c r="B61" s="234" t="n"/>
      <c r="C61" s="234" t="n">
        <v>0</v>
      </c>
      <c r="D61" s="237" t="n"/>
    </row>
    <row r="62" ht="15.75" customHeight="1" thickBot="1">
      <c r="B62" s="234" t="n"/>
      <c r="C62" s="234" t="n">
        <v>0</v>
      </c>
      <c r="D62" s="237" t="n"/>
    </row>
    <row r="63" ht="15.75" customHeight="1" thickBot="1">
      <c r="B63" s="234" t="n"/>
      <c r="C63" s="234" t="n">
        <v>0</v>
      </c>
      <c r="D63" s="237" t="n"/>
    </row>
    <row r="64" ht="15.75" customHeight="1" thickBot="1">
      <c r="B64" s="234" t="n"/>
      <c r="C64" s="234" t="n">
        <v>0</v>
      </c>
      <c r="D64" s="237" t="n"/>
    </row>
    <row r="65" ht="15.75" customHeight="1" thickBot="1">
      <c r="B65" s="234" t="n"/>
      <c r="C65" s="234" t="n">
        <v>0</v>
      </c>
      <c r="D65" s="237" t="n"/>
    </row>
    <row r="66" ht="15.75" customHeight="1" thickBot="1">
      <c r="B66" s="234" t="n"/>
      <c r="C66" s="234" t="n">
        <v>0</v>
      </c>
      <c r="D66" s="237" t="n"/>
    </row>
    <row r="67" ht="15.75" customHeight="1" thickBot="1">
      <c r="B67" s="234" t="n"/>
      <c r="C67" s="234" t="n">
        <v>0</v>
      </c>
      <c r="D67" s="237" t="n"/>
    </row>
    <row r="68" ht="15.75" customHeight="1" thickBot="1">
      <c r="B68" s="234" t="n"/>
      <c r="C68" s="234" t="n">
        <v>0</v>
      </c>
      <c r="D68" s="237" t="n"/>
    </row>
    <row r="69" ht="15.75" customHeight="1" thickBot="1">
      <c r="B69" s="234" t="n"/>
      <c r="C69" s="234" t="n">
        <v>0</v>
      </c>
      <c r="D69" s="237" t="n"/>
    </row>
    <row r="70" ht="15.75" customHeight="1" thickBot="1">
      <c r="B70" s="234" t="n"/>
      <c r="C70" s="234" t="n">
        <v>0</v>
      </c>
      <c r="D70" s="237" t="n"/>
    </row>
    <row r="71" ht="15.75" customHeight="1" thickBot="1">
      <c r="B71" s="234" t="n"/>
      <c r="C71" s="234" t="n">
        <v>0</v>
      </c>
      <c r="D71" s="237" t="n"/>
    </row>
    <row r="72" ht="15.75" customHeight="1" thickBot="1">
      <c r="B72" s="234" t="n"/>
      <c r="C72" s="234" t="n">
        <v>0</v>
      </c>
      <c r="D72" s="237" t="n"/>
    </row>
    <row r="73" ht="15.75" customHeight="1" thickBot="1">
      <c r="B73" s="234" t="n"/>
      <c r="C73" s="234" t="n">
        <v>0</v>
      </c>
      <c r="D73" s="237" t="n"/>
    </row>
    <row r="74" ht="15.75" customHeight="1" thickBot="1">
      <c r="B74" s="234" t="n"/>
      <c r="C74" s="234" t="n">
        <v>0</v>
      </c>
      <c r="D74" s="237" t="n"/>
    </row>
    <row r="75" ht="15.75" customHeight="1" thickBot="1">
      <c r="B75" s="234" t="n"/>
      <c r="C75" s="234" t="n">
        <v>0</v>
      </c>
      <c r="D75" s="237" t="n"/>
    </row>
    <row r="76" ht="15.75" customHeight="1" thickBot="1">
      <c r="B76" s="234" t="n"/>
      <c r="C76" s="234" t="n">
        <v>0</v>
      </c>
      <c r="D76" s="237" t="n"/>
    </row>
    <row r="77" ht="15.75" customHeight="1" thickBot="1">
      <c r="B77" s="234" t="n"/>
      <c r="C77" s="234" t="n">
        <v>0</v>
      </c>
      <c r="D77" s="237" t="n"/>
    </row>
    <row r="78" ht="15.75" customHeight="1" thickBot="1">
      <c r="B78" s="234" t="n"/>
      <c r="C78" s="234" t="n">
        <v>0</v>
      </c>
      <c r="D78" s="237" t="n"/>
    </row>
    <row r="79" ht="15" customHeight="1" thickBot="1">
      <c r="B79" s="241" t="n"/>
      <c r="C79" s="241" t="n">
        <v>0</v>
      </c>
      <c r="D79" s="24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QU1TSCEDIUOu47Xbl+0zHg==" formatRows="1" sort="1" spinCount="100000" hashValue="WLJUNvYWYvgu54Fve1O7Gyn+jpcsvoYOR8tTJB1WOtumnJTAjQDCNlfdCkNIBzL8Wk8jqkewCyTQMOciXEZkOA=="/>
  <mergeCells count="2">
    <mergeCell ref="B7:B13"/>
    <mergeCell ref="F6:O14"/>
  </mergeCells>
  <dataValidations count="1">
    <dataValidation sqref="B20:B79" showDropDown="0" showInputMessage="1" showErrorMessage="1" allowBlank="1" type="list">
      <formula1>$S$7:$S$13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/>
    <outlinePr summaryBelow="1" summaryRight="1"/>
    <pageSetUpPr fitToPage="1"/>
  </sheetPr>
  <dimension ref="B2:E32"/>
  <sheetViews>
    <sheetView zoomScaleNormal="100" workbookViewId="0">
      <selection activeCell="E8" sqref="E8"/>
    </sheetView>
  </sheetViews>
  <sheetFormatPr baseColWidth="10" defaultColWidth="9.140625" defaultRowHeight="15"/>
  <cols>
    <col width="11.42578125" customWidth="1" min="1" max="1"/>
    <col width="43.85546875" customWidth="1" min="2" max="2"/>
    <col width="32.42578125" customWidth="1" min="3" max="3"/>
    <col width="25.140625" customWidth="1" min="4" max="4"/>
    <col width="25" customWidth="1" min="5" max="5"/>
  </cols>
  <sheetData>
    <row r="2" ht="32.25" customHeight="1">
      <c r="B2" s="181" t="inlineStr">
        <is>
          <t>Detalle los aportes de la Institución Beneficiaria, Nacional Asociada y Asociada Extranjera como un solo total por cada subítem. Recuerde que estos aportes son voluntarios</t>
        </is>
      </c>
    </row>
    <row r="3" ht="15.75" customHeight="1" thickBot="1">
      <c r="B3" s="88" t="inlineStr">
        <is>
          <t>Complete sólo las celdas destacadas en color</t>
        </is>
      </c>
      <c r="C3" s="86" t="n"/>
      <c r="D3" s="86" t="n"/>
      <c r="E3" s="86" t="n"/>
    </row>
    <row r="4" ht="19.5" customHeight="1" thickBot="1">
      <c r="B4" s="39" t="n"/>
      <c r="C4" s="40" t="n"/>
      <c r="D4" s="40" t="n"/>
      <c r="E4" s="119" t="n"/>
    </row>
    <row r="5" ht="15.75" customHeight="1" thickBot="1">
      <c r="B5" s="41" t="inlineStr">
        <is>
          <t>MODALIDAD</t>
        </is>
      </c>
      <c r="C5" s="42" t="inlineStr">
        <is>
          <t xml:space="preserve"> Item</t>
        </is>
      </c>
      <c r="D5" s="42" t="inlineStr">
        <is>
          <t>Sub Item</t>
        </is>
      </c>
      <c r="E5" s="42" t="inlineStr">
        <is>
          <t>Aportes institucionales</t>
        </is>
      </c>
    </row>
    <row r="6">
      <c r="B6" s="206" t="inlineStr">
        <is>
          <t>MODALIDAD A: Pasantía/capacitación de perfeccionamiento de corta duración en el extranjero y/o acceso al uso de equipamiento científico y tecnológico, en instituciones extranjeras</t>
        </is>
      </c>
      <c r="C6" s="207" t="inlineStr">
        <is>
          <t>Gastos de operación</t>
        </is>
      </c>
      <c r="D6" s="57" t="inlineStr">
        <is>
          <t>Pasajes</t>
        </is>
      </c>
      <c r="E6" s="248" t="n"/>
    </row>
    <row r="7">
      <c r="B7" s="210" t="n"/>
      <c r="C7" s="210" t="n"/>
      <c r="D7" s="52" t="inlineStr">
        <is>
          <t>Seguro de viaje</t>
        </is>
      </c>
      <c r="E7" s="248" t="n"/>
    </row>
    <row r="8">
      <c r="B8" s="210" t="n"/>
      <c r="C8" s="210" t="n"/>
      <c r="D8" s="52" t="inlineStr">
        <is>
          <t>Viatico</t>
        </is>
      </c>
      <c r="E8" s="248" t="n"/>
    </row>
    <row r="9">
      <c r="B9" s="210" t="n"/>
      <c r="C9" s="210" t="n"/>
      <c r="D9" s="52" t="inlineStr">
        <is>
          <t>Capacitación</t>
        </is>
      </c>
      <c r="E9" s="248" t="n"/>
    </row>
    <row r="10">
      <c r="B10" s="210" t="n"/>
      <c r="C10" s="210" t="n"/>
      <c r="D10" s="52" t="inlineStr">
        <is>
          <t>Otros</t>
        </is>
      </c>
      <c r="E10" s="248" t="n"/>
    </row>
    <row r="11" ht="15.75" customHeight="1" thickBot="1">
      <c r="B11" s="210" t="n"/>
      <c r="C11" s="211" t="n"/>
      <c r="D11" s="52" t="inlineStr">
        <is>
          <t>Publicaciones</t>
        </is>
      </c>
      <c r="E11" s="248" t="n"/>
    </row>
    <row r="12">
      <c r="B12" s="210" t="n"/>
      <c r="C12" s="141" t="inlineStr">
        <is>
          <t>Equipamiento</t>
        </is>
      </c>
      <c r="D12" s="58" t="inlineStr">
        <is>
          <t>Arriendo de equipos</t>
        </is>
      </c>
      <c r="E12" s="248" t="n"/>
    </row>
    <row r="13" ht="15.75" customHeight="1" thickBot="1">
      <c r="B13" s="210" t="n"/>
      <c r="C13" s="210" t="n"/>
      <c r="D13" s="59" t="inlineStr">
        <is>
          <t>Equipamiento menor</t>
        </is>
      </c>
      <c r="E13" s="248" t="n"/>
    </row>
    <row r="14" ht="15.75" customHeight="1" thickBot="1">
      <c r="B14" s="211" t="n"/>
      <c r="C14" s="212" t="inlineStr">
        <is>
          <t>Subtotal ($)</t>
        </is>
      </c>
      <c r="D14" s="205" t="n"/>
      <c r="E14" s="214">
        <f>SUM(E6:E13)</f>
        <v/>
      </c>
    </row>
    <row r="15" ht="15.75" customHeight="1" thickBot="1">
      <c r="B15" s="146" t="inlineStr">
        <is>
          <t>MODALIDAD B: Atracción de investigadores/as o académicos/as de Instituciones Extranjeras</t>
        </is>
      </c>
      <c r="C15" s="130" t="inlineStr">
        <is>
          <t xml:space="preserve">Gastos en personal </t>
        </is>
      </c>
      <c r="D15" s="60" t="inlineStr">
        <is>
          <t>Honorarios</t>
        </is>
      </c>
      <c r="E15" s="249" t="n"/>
    </row>
    <row r="16">
      <c r="B16" s="217" t="n"/>
      <c r="C16" s="218" t="inlineStr">
        <is>
          <t>Gastos de operación</t>
        </is>
      </c>
      <c r="D16" s="61" t="inlineStr">
        <is>
          <t>Pasajes</t>
        </is>
      </c>
      <c r="E16" s="248" t="n"/>
    </row>
    <row r="17">
      <c r="B17" s="217" t="n"/>
      <c r="C17" s="217" t="n"/>
      <c r="D17" s="61" t="inlineStr">
        <is>
          <t>Viatico</t>
        </is>
      </c>
      <c r="E17" s="248" t="n"/>
    </row>
    <row r="18">
      <c r="B18" s="217" t="n"/>
      <c r="C18" s="217" t="n"/>
      <c r="D18" s="61" t="inlineStr">
        <is>
          <t>Seguro de viaje</t>
        </is>
      </c>
      <c r="E18" s="248" t="n"/>
    </row>
    <row r="19">
      <c r="B19" s="217" t="n"/>
      <c r="C19" s="217" t="n"/>
      <c r="D19" s="61" t="inlineStr">
        <is>
          <t>Otros</t>
        </is>
      </c>
      <c r="E19" s="248" t="n"/>
    </row>
    <row r="20" ht="15.75" customHeight="1" thickBot="1">
      <c r="B20" s="217" t="n"/>
      <c r="C20" s="219" t="n"/>
      <c r="D20" s="61" t="inlineStr">
        <is>
          <t>Publicaciones</t>
        </is>
      </c>
      <c r="E20" s="248" t="n"/>
    </row>
    <row r="21" ht="15.75" customHeight="1" thickBot="1">
      <c r="B21" s="217" t="n"/>
      <c r="C21" s="53" t="inlineStr">
        <is>
          <t>Equipamiento</t>
        </is>
      </c>
      <c r="D21" s="62" t="inlineStr">
        <is>
          <t>Equipamiento menor</t>
        </is>
      </c>
      <c r="E21" s="248" t="n"/>
    </row>
    <row r="22" ht="15.75" customHeight="1" thickBot="1">
      <c r="B22" s="217" t="n"/>
      <c r="C22" s="212" t="inlineStr">
        <is>
          <t>Subtotal ($)</t>
        </is>
      </c>
      <c r="D22" s="205" t="n"/>
      <c r="E22" s="214">
        <f>SUM(E15:E21)</f>
        <v/>
      </c>
    </row>
    <row r="23">
      <c r="B23" s="220" t="inlineStr">
        <is>
          <t>MODALIDAD C: Realización de talleres o seminarios bilaterales y/o multilaterales. Asistencia a conferencias o seminarios</t>
        </is>
      </c>
      <c r="C23" s="207" t="inlineStr">
        <is>
          <t>Gastos de operación</t>
        </is>
      </c>
      <c r="D23" s="63" t="inlineStr">
        <is>
          <t>Difusión</t>
        </is>
      </c>
      <c r="E23" s="249" t="n"/>
    </row>
    <row r="24">
      <c r="B24" s="217" t="n"/>
      <c r="C24" s="210" t="n"/>
      <c r="D24" s="64" t="inlineStr">
        <is>
          <t>Pasajes</t>
        </is>
      </c>
      <c r="E24" s="248" t="n"/>
    </row>
    <row r="25">
      <c r="B25" s="217" t="n"/>
      <c r="C25" s="210" t="n"/>
      <c r="D25" s="64" t="inlineStr">
        <is>
          <t>Viatico</t>
        </is>
      </c>
      <c r="E25" s="248" t="n"/>
    </row>
    <row r="26">
      <c r="B26" s="217" t="n"/>
      <c r="C26" s="210" t="n"/>
      <c r="D26" s="64" t="inlineStr">
        <is>
          <t>Seguro de viaje</t>
        </is>
      </c>
      <c r="E26" s="248" t="n"/>
    </row>
    <row r="27">
      <c r="B27" s="217" t="n"/>
      <c r="C27" s="210" t="n"/>
      <c r="D27" s="65" t="inlineStr">
        <is>
          <t>Seminarios / Congresos</t>
        </is>
      </c>
      <c r="E27" s="248" t="n"/>
    </row>
    <row r="28">
      <c r="B28" s="217" t="n"/>
      <c r="C28" s="210" t="n"/>
      <c r="D28" s="65" t="inlineStr">
        <is>
          <t>Publicaciones</t>
        </is>
      </c>
      <c r="E28" s="248" t="n"/>
    </row>
    <row r="29" ht="15.75" customHeight="1" thickBot="1">
      <c r="B29" s="217" t="n"/>
      <c r="C29" s="211" t="n"/>
      <c r="D29" s="66" t="inlineStr">
        <is>
          <t>Otros</t>
        </is>
      </c>
      <c r="E29" s="248" t="n"/>
    </row>
    <row r="30" ht="15.75" customHeight="1" thickBot="1">
      <c r="B30" s="219" t="n"/>
      <c r="C30" s="221" t="inlineStr">
        <is>
          <t>Subtotal ($)</t>
        </is>
      </c>
      <c r="D30" s="222" t="n"/>
      <c r="E30" s="214">
        <f>SUM(E23:E29)</f>
        <v/>
      </c>
    </row>
    <row r="31" ht="15.75" customHeight="1" thickBot="1">
      <c r="B31" s="45" t="n"/>
      <c r="C31" s="46" t="n"/>
      <c r="D31" s="46" t="n"/>
      <c r="E31" s="47" t="n"/>
    </row>
    <row r="32" ht="15.75" customHeight="1" thickBot="1">
      <c r="B32" s="224" t="inlineStr">
        <is>
          <t>TOTAL ($)</t>
        </is>
      </c>
      <c r="C32" s="205" t="n"/>
      <c r="D32" s="152" t="n"/>
      <c r="E32" s="226">
        <f>E30+E22+E14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n5rlwNH2plKFahPJE7jLdg==" formatRows="1" sort="1" spinCount="100000" hashValue="T/22gzlq49ejjVF9DNRHZ+pl3ikh5o8paaX+T1zk0sbAyn6vatiQc2gVRrDxOOzH6i84MvpZ36GIBcQGeVQqsA=="/>
  <mergeCells count="12">
    <mergeCell ref="B23:B30"/>
    <mergeCell ref="C30:D30"/>
    <mergeCell ref="C12:C13"/>
    <mergeCell ref="B6:B14"/>
    <mergeCell ref="B15:B22"/>
    <mergeCell ref="C6:C11"/>
    <mergeCell ref="C14:D14"/>
    <mergeCell ref="B32:C32"/>
    <mergeCell ref="C16:C20"/>
    <mergeCell ref="B2:E2"/>
    <mergeCell ref="C22:D22"/>
    <mergeCell ref="C23:C29"/>
  </mergeCells>
  <pageMargins left="0.7" right="0.7" top="0.75" bottom="0.75" header="0.3" footer="0.3"/>
  <pageSetup orientation="landscape" scale="6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Paz Schachtebeck M.</dc:creator>
  <dcterms:created xmlns:dcterms="http://purl.org/dc/terms/" xmlns:xsi="http://www.w3.org/2001/XMLSchema-instance" xsi:type="dcterms:W3CDTF">2013-03-20T21:26:54Z</dcterms:created>
  <dcterms:modified xmlns:dcterms="http://purl.org/dc/terms/" xmlns:xsi="http://www.w3.org/2001/XMLSchema-instance" xsi:type="dcterms:W3CDTF">2026-10-06T18:37:26Z</dcterms:modified>
  <cp:lastModifiedBy>Cecilia Diaz Arancibia</cp:lastModifiedBy>
  <cp:lastPrinted>2021-07-02T21:58:55Z</cp:lastPrinted>
</cp:coreProperties>
</file>